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500" firstSheet="0" activeTab="1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Pattern Library" sheetId="2" state="visible" r:id="rId2"/>
  </sheets>
  <definedNames>
    <definedName name="_xlnm._FilterDatabase" localSheetId="1" hidden="1">'Pattern Library'!$A$1:$H$76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charset val="1"/>
      <color rgb="FF000000"/>
      <sz val="9.5"/>
    </font>
    <font>
      <name val="Arial"/>
      <charset val="1"/>
      <b val="1"/>
      <color rgb="FF000000"/>
      <sz val="9.5"/>
    </font>
    <font>
      <name val="Arial"/>
      <charset val="1"/>
      <b val="1"/>
      <color rgb="FFFFFFFF"/>
      <sz val="11"/>
    </font>
    <font>
      <name val="Arial"/>
      <b val="1"/>
      <color rgb="FFFFFFFF"/>
      <sz val="11"/>
    </font>
    <font>
      <name val="Arial"/>
      <color rgb="FF1F2733"/>
      <sz val="10"/>
    </font>
    <font>
      <name val="Arial"/>
      <b val="1"/>
      <color rgb="FFD31242"/>
      <sz val="20"/>
    </font>
    <font>
      <name val="Arial"/>
      <color rgb="FF5E6A78"/>
      <sz val="10"/>
    </font>
    <font>
      <name val="Arial"/>
      <b val="1"/>
      <color rgb="FF1F2733"/>
      <sz val="11"/>
    </font>
    <font>
      <name val="Arial"/>
      <b val="1"/>
      <color rgb="FFD31242"/>
      <sz val="11"/>
    </font>
  </fonts>
  <fills count="7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31242"/>
      </patternFill>
    </fill>
    <fill>
      <patternFill patternType="solid">
        <fgColor rgb="FF1F27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 vertical="center"/>
    </xf>
    <xf numFmtId="0" fontId="4" fillId="5" borderId="0" pivotButton="0" quotePrefix="0" xfId="0"/>
    <xf numFmtId="0" fontId="4" fillId="5" borderId="0" applyAlignment="1" pivotButton="0" quotePrefix="0" xfId="0">
      <alignment horizontal="center" vertical="center"/>
    </xf>
    <xf numFmtId="0" fontId="8" fillId="0" borderId="0" pivotButton="0" quotePrefix="0" xfId="0"/>
    <xf numFmtId="9" fontId="0" fillId="0" borderId="0" applyAlignment="1" pivotButton="0" quotePrefix="0" xfId="0">
      <alignment horizontal="center" vertical="center"/>
    </xf>
    <xf numFmtId="0" fontId="4" fillId="6" borderId="0" pivotButton="0" quotePrefix="0" xfId="0"/>
    <xf numFmtId="0" fontId="4" fillId="6" borderId="0" applyAlignment="1" pivotButton="0" quotePrefix="0" xfId="0">
      <alignment horizontal="center" vertical="center"/>
    </xf>
    <xf numFmtId="9" fontId="4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/>
  </cellStyles>
  <dxfs count="2">
    <dxf>
      <font>
        <name val="Arial"/>
        <color rgb="FF5E6A78"/>
        <sz val="10"/>
      </font>
      <fill>
        <patternFill patternType="solid">
          <fgColor rgb="FFF0F1F4"/>
        </patternFill>
      </fill>
    </dxf>
    <dxf>
      <font>
        <name val="Arial"/>
        <b val="1"/>
        <color rgb="FF15803D"/>
        <sz val="10"/>
      </font>
      <fill>
        <patternFill patternType="solid">
          <f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Build progress by level</a:t>
            </a:r>
          </a:p>
        </rich>
      </tx>
      <overlay val="1"/>
    </title>
    <plotArea>
      <layout/>
      <barChart>
        <barDir val="bar"/>
        <grouping val="stacked"/>
        <varyColors val="1"/>
        <ser>
          <idx val="0"/>
          <order val="0"/>
          <tx>
            <strRef>
              <f>Coverage!$C$10</f>
              <strCache>
                <ptCount val="1"/>
                <pt idx="0">
                  <v>Built</v>
                </pt>
              </strCache>
            </strRef>
          </tx>
          <spPr>
            <a:solidFill xmlns:a="http://schemas.openxmlformats.org/drawingml/2006/main">
              <a:srgbClr val="D31242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Coverage!$B$11:$B$14</f>
              <strCache>
                <ptCount val="4"/>
                <pt idx="0">
                  <v>Foundations</v>
                </pt>
                <pt idx="1">
                  <v>Beginner</v>
                </pt>
                <pt idx="2">
                  <v>Intermediate</v>
                </pt>
                <pt idx="3">
                  <v>Advanced</v>
                </pt>
              </strCache>
            </strRef>
          </cat>
          <val>
            <numRef>
              <f>Coverage!$C$11:$C$14</f>
              <numCache>
                <formatCode>General</formatCode>
                <ptCount val="4"/>
                <pt idx="0">
                  <v>3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"/>
          <order val="1"/>
          <tx>
            <strRef>
              <f>Coverage!$G$10</f>
              <strCache>
                <ptCount val="1"/>
                <pt idx="0">
                  <v>Remaining</v>
                </pt>
              </strCache>
            </strRef>
          </tx>
          <spPr>
            <a:solidFill xmlns:a="http://schemas.openxmlformats.org/drawingml/2006/main">
              <a:srgbClr val="E7E9E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Coverage!$B$11:$B$14</f>
              <strCache>
                <ptCount val="4"/>
                <pt idx="0">
                  <v>Foundations</v>
                </pt>
                <pt idx="1">
                  <v>Beginner</v>
                </pt>
                <pt idx="2">
                  <v>Intermediate</v>
                </pt>
                <pt idx="3">
                  <v>Advanced</v>
                </pt>
              </strCache>
            </strRef>
          </cat>
          <val>
            <numRef>
              <f>Coverage!$G$11:$G$14</f>
              <numCache>
                <formatCode>General</formatCode>
                <ptCount val="4"/>
                <pt idx="0">
                  <v>0</v>
                </pt>
                <pt idx="1">
                  <v>19</v>
                </pt>
                <pt idx="2">
                  <v>26</v>
                </pt>
                <pt idx="3">
                  <v>27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"/>
        <axId val="100"/>
      </barChart>
      <catAx>
        <axId val="1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10" defaultColWidth="8.83203125" defaultRowHeight="15"/>
  <cols>
    <col width="16" customWidth="1" min="2" max="2"/>
    <col width="13" customWidth="1" min="3" max="5"/>
    <col width="13" customWidth="1" min="7" max="7"/>
  </cols>
  <sheetData>
    <row r="2" ht="25" customHeight="1">
      <c r="B2" s="8" t="inlineStr">
        <is>
          <t>Coverage Dashboard</t>
        </is>
      </c>
    </row>
    <row r="3">
      <c r="B3" s="9" t="inlineStr">
        <is>
          <t>How much of the 75-pattern library is built into the training decks.</t>
        </is>
      </c>
    </row>
    <row r="5">
      <c r="B5" s="10" t="inlineStr">
        <is>
          <t>OVERALL</t>
        </is>
      </c>
      <c r="C5" s="11" t="n"/>
    </row>
    <row r="6">
      <c r="B6" t="inlineStr">
        <is>
          <t>Patterns built</t>
        </is>
      </c>
      <c r="C6" s="12">
        <f>COUNTIF('Pattern Library'!H:H,"Built")</f>
        <v/>
      </c>
    </row>
    <row r="7">
      <c r="B7" t="inlineStr">
        <is>
          <t>Total patterns</t>
        </is>
      </c>
      <c r="C7" s="13">
        <f>COUNTA('Pattern Library'!E2:E190)</f>
        <v/>
      </c>
    </row>
    <row r="8">
      <c r="B8" t="inlineStr">
        <is>
          <t>% complete</t>
        </is>
      </c>
      <c r="C8" s="14">
        <f>C6/C7</f>
        <v/>
      </c>
    </row>
    <row r="10">
      <c r="B10" s="15" t="inlineStr">
        <is>
          <t>Level</t>
        </is>
      </c>
      <c r="C10" s="16" t="inlineStr">
        <is>
          <t>Built</t>
        </is>
      </c>
      <c r="D10" s="16" t="inlineStr">
        <is>
          <t>Total</t>
        </is>
      </c>
      <c r="E10" s="16" t="inlineStr">
        <is>
          <t>% Complete</t>
        </is>
      </c>
      <c r="G10" s="16" t="inlineStr">
        <is>
          <t>Remaining</t>
        </is>
      </c>
    </row>
    <row r="11">
      <c r="B11" s="17" t="inlineStr">
        <is>
          <t>Foundations</t>
        </is>
      </c>
      <c r="C11" s="13">
        <f>COUNTIFS('Pattern Library'!E:E,"Foundations",'Pattern Library'!H:H,"Built")</f>
        <v/>
      </c>
      <c r="D11" s="13">
        <f>COUNTIF('Pattern Library'!E:E,"Foundations")</f>
        <v/>
      </c>
      <c r="E11" s="18">
        <f>IF(D11=0,0,C11/D11)</f>
        <v/>
      </c>
      <c r="G11" s="13">
        <f>D11-C11</f>
        <v/>
      </c>
    </row>
    <row r="12">
      <c r="B12" s="17" t="inlineStr">
        <is>
          <t>Beginner</t>
        </is>
      </c>
      <c r="C12" s="13">
        <f>COUNTIFS('Pattern Library'!E:E,"Beginner",'Pattern Library'!H:H,"Built")</f>
        <v/>
      </c>
      <c r="D12" s="13">
        <f>COUNTIF('Pattern Library'!E:E,"Beginner")</f>
        <v/>
      </c>
      <c r="E12" s="18">
        <f>IF(D12=0,0,C12/D12)</f>
        <v/>
      </c>
      <c r="G12" s="13">
        <f>D12-C12</f>
        <v/>
      </c>
    </row>
    <row r="13">
      <c r="B13" s="17" t="inlineStr">
        <is>
          <t>Intermediate</t>
        </is>
      </c>
      <c r="C13" s="13">
        <f>COUNTIFS('Pattern Library'!E:E,"Intermediate",'Pattern Library'!H:H,"Built")</f>
        <v/>
      </c>
      <c r="D13" s="13">
        <f>COUNTIF('Pattern Library'!E:E,"Intermediate")</f>
        <v/>
      </c>
      <c r="E13" s="18">
        <f>IF(D13=0,0,C13/D13)</f>
        <v/>
      </c>
      <c r="G13" s="13">
        <f>D13-C13</f>
        <v/>
      </c>
    </row>
    <row r="14">
      <c r="B14" s="17" t="inlineStr">
        <is>
          <t>Advanced</t>
        </is>
      </c>
      <c r="C14" s="13">
        <f>COUNTIFS('Pattern Library'!E:E,"Advanced",'Pattern Library'!H:H,"Built")</f>
        <v/>
      </c>
      <c r="D14" s="13">
        <f>COUNTIF('Pattern Library'!E:E,"Advanced")</f>
        <v/>
      </c>
      <c r="E14" s="18">
        <f>IF(D14=0,0,C14/D14)</f>
        <v/>
      </c>
      <c r="G14" s="13">
        <f>D14-C14</f>
        <v/>
      </c>
    </row>
    <row r="15">
      <c r="B15" s="19" t="inlineStr">
        <is>
          <t>TOTAL</t>
        </is>
      </c>
      <c r="C15" s="20">
        <f>SUM(C11:C14)</f>
        <v/>
      </c>
      <c r="D15" s="20">
        <f>SUM(D11:D14)</f>
        <v/>
      </c>
      <c r="E15" s="21">
        <f>C15/D15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tabSelected="1" zoomScale="130" zoomScaleNormal="130" workbookViewId="0">
      <selection activeCell="D14" sqref="D14"/>
    </sheetView>
  </sheetViews>
  <sheetFormatPr baseColWidth="10" defaultColWidth="8.6640625" defaultRowHeight="15"/>
  <cols>
    <col width="4" customWidth="1" min="1" max="1"/>
    <col width="16" customWidth="1" min="2" max="2"/>
    <col width="25" customWidth="1" min="3" max="3"/>
    <col width="37" customWidth="1" min="4" max="4"/>
    <col width="14" customWidth="1" min="5" max="5"/>
    <col width="42" customWidth="1" min="6" max="6"/>
    <col width="16" customWidth="1" min="7" max="7"/>
    <col width="14" customWidth="1" min="8" max="8"/>
  </cols>
  <sheetData>
    <row r="1" ht="30" customHeight="1">
      <c r="A1" s="1" t="inlineStr">
        <is>
          <t>#</t>
        </is>
      </c>
      <c r="B1" s="1" t="inlineStr">
        <is>
          <t>Family</t>
        </is>
      </c>
      <c r="C1" s="1" t="inlineStr">
        <is>
          <t>Pattern</t>
        </is>
      </c>
      <c r="D1" s="1" t="inlineStr">
        <is>
          <t>What it is</t>
        </is>
      </c>
      <c r="E1" s="10" t="inlineStr">
        <is>
          <t>Level</t>
        </is>
      </c>
      <c r="F1" s="10" t="inlineStr">
        <is>
          <t>Module</t>
        </is>
      </c>
      <c r="G1" s="10" t="inlineStr">
        <is>
          <t>Core / Appendix</t>
        </is>
      </c>
      <c r="H1" s="10" t="inlineStr">
        <is>
          <t>Build Status</t>
        </is>
      </c>
    </row>
    <row r="2" ht="42" customHeight="1">
      <c r="A2" s="2" t="n">
        <v>1</v>
      </c>
      <c r="B2" s="3" t="inlineStr">
        <is>
          <t>Clarity &amp; Instruction</t>
        </is>
      </c>
      <c r="C2" s="4" t="inlineStr">
        <is>
          <t>Be clear and direct</t>
        </is>
      </c>
      <c r="D2" s="3" t="inlineStr">
        <is>
          <t>Give explicit, specific instructions; treat Claude like a brilliant new hire with zero context.</t>
        </is>
      </c>
      <c r="E2" s="22" t="inlineStr">
        <is>
          <t>Beginner</t>
        </is>
      </c>
      <c r="F2" s="23" t="inlineStr">
        <is>
          <t>Module 3 — Writing Clear Instructions</t>
        </is>
      </c>
      <c r="G2" s="22" t="inlineStr">
        <is>
          <t>Core</t>
        </is>
      </c>
      <c r="H2" s="22" t="inlineStr">
        <is>
          <t>Built</t>
        </is>
      </c>
    </row>
    <row r="3" ht="42" customHeight="1">
      <c r="A3" s="5" t="n">
        <v>2</v>
      </c>
      <c r="B3" s="6" t="inlineStr">
        <is>
          <t>Clarity &amp; Instruction</t>
        </is>
      </c>
      <c r="C3" s="7" t="inlineStr">
        <is>
          <t>Prompt anatomy / components</t>
        </is>
      </c>
      <c r="D3" s="6" t="inlineStr">
        <is>
          <t>Scaffold a prompt into named parts: role, goal, context, source, instructions, output format, constraints, success criteria, fallback.</t>
        </is>
      </c>
      <c r="E3" s="22" t="inlineStr">
        <is>
          <t>Foundations</t>
        </is>
      </c>
      <c r="F3" s="23" t="inlineStr">
        <is>
          <t>Module 2 — Anatomy of a Prompt</t>
        </is>
      </c>
      <c r="G3" s="22" t="inlineStr">
        <is>
          <t>Core</t>
        </is>
      </c>
      <c r="H3" s="22" t="inlineStr">
        <is>
          <t>Built</t>
        </is>
      </c>
    </row>
    <row r="4" ht="28" customHeight="1">
      <c r="A4" s="2" t="n">
        <v>3</v>
      </c>
      <c r="B4" s="3" t="inlineStr">
        <is>
          <t>Clarity &amp; Instruction</t>
        </is>
      </c>
      <c r="C4" s="4" t="inlineStr">
        <is>
          <t>Define success criteria first</t>
        </is>
      </c>
      <c r="D4" s="3" t="inlineStr">
        <is>
          <t>Decide what 'good' looks like before writing the prompt.</t>
        </is>
      </c>
      <c r="E4" s="22" t="inlineStr">
        <is>
          <t>Foundations</t>
        </is>
      </c>
      <c r="F4" s="23" t="inlineStr">
        <is>
          <t>Module 2 — Anatomy of a Prompt</t>
        </is>
      </c>
      <c r="G4" s="22" t="inlineStr">
        <is>
          <t>Appendix</t>
        </is>
      </c>
      <c r="H4" s="22" t="inlineStr">
        <is>
          <t>Built</t>
        </is>
      </c>
    </row>
    <row r="5" ht="28" customHeight="1">
      <c r="A5" s="5" t="n">
        <v>4</v>
      </c>
      <c r="B5" s="6" t="inlineStr">
        <is>
          <t>Clarity &amp; Instruction</t>
        </is>
      </c>
      <c r="C5" s="7" t="inlineStr">
        <is>
          <t>Instruction hierarchy (must/should/avoid)</t>
        </is>
      </c>
      <c r="D5" s="6" t="inlineStr">
        <is>
          <t>Rank instructions by priority so non-negotiables are unmistakable.</t>
        </is>
      </c>
      <c r="E5" s="22" t="inlineStr">
        <is>
          <t>Foundations</t>
        </is>
      </c>
      <c r="F5" s="23" t="inlineStr">
        <is>
          <t>Module 2 — Anatomy of a Prompt</t>
        </is>
      </c>
      <c r="G5" s="22" t="inlineStr">
        <is>
          <t>Appendix</t>
        </is>
      </c>
      <c r="H5" s="22" t="inlineStr">
        <is>
          <t>Built</t>
        </is>
      </c>
    </row>
    <row r="6" ht="28" customHeight="1">
      <c r="A6" s="2" t="n">
        <v>5</v>
      </c>
      <c r="B6" s="3" t="inlineStr">
        <is>
          <t>Clarity &amp; Instruction</t>
        </is>
      </c>
      <c r="C6" s="4" t="inlineStr">
        <is>
          <t>Constraints as design tools</t>
        </is>
      </c>
      <c r="D6" s="3" t="inlineStr">
        <is>
          <t>Use objective limits (word count, reading level, no-acronyms) to shape output.</t>
        </is>
      </c>
      <c r="E6" s="22" t="inlineStr">
        <is>
          <t>Beginner</t>
        </is>
      </c>
      <c r="F6" s="23" t="inlineStr">
        <is>
          <t>Module 3 — Writing Clear Instructions</t>
        </is>
      </c>
      <c r="G6" s="22" t="inlineStr">
        <is>
          <t>Core</t>
        </is>
      </c>
      <c r="H6" s="22" t="inlineStr">
        <is>
          <t>Built</t>
        </is>
      </c>
    </row>
    <row r="7" ht="28" customHeight="1">
      <c r="A7" s="5" t="n">
        <v>6</v>
      </c>
      <c r="B7" s="6" t="inlineStr">
        <is>
          <t>Structure &amp; Delimiting</t>
        </is>
      </c>
      <c r="C7" s="7" t="inlineStr">
        <is>
          <t>XML tags (structure prompts)</t>
        </is>
      </c>
      <c r="D7" s="6" t="inlineStr">
        <is>
          <t>Wrap distinct content in named tags so instructions and data never blur.</t>
        </is>
      </c>
      <c r="E7" s="22" t="inlineStr">
        <is>
          <t>Beginner</t>
        </is>
      </c>
      <c r="F7" s="23" t="inlineStr">
        <is>
          <t>Module 4 — Structure &amp; Formatting</t>
        </is>
      </c>
      <c r="G7" s="22" t="inlineStr">
        <is>
          <t>Core</t>
        </is>
      </c>
      <c r="H7" s="22" t="inlineStr">
        <is>
          <t>Built</t>
        </is>
      </c>
    </row>
    <row r="8" ht="28" customHeight="1">
      <c r="A8" s="2" t="n">
        <v>7</v>
      </c>
      <c r="B8" s="3" t="inlineStr">
        <is>
          <t>Structure &amp; Delimiting</t>
        </is>
      </c>
      <c r="C8" s="4" t="inlineStr">
        <is>
          <t>Separate data from instructions</t>
        </is>
      </c>
      <c r="D8" s="3" t="inlineStr">
        <is>
          <t>Use delimiters/tags to mark where pasted content ends and instructions begin.</t>
        </is>
      </c>
      <c r="E8" s="22" t="inlineStr">
        <is>
          <t>Beginner</t>
        </is>
      </c>
      <c r="F8" s="23" t="inlineStr">
        <is>
          <t>Module 4 — Structure &amp; Formatting</t>
        </is>
      </c>
      <c r="G8" s="22" t="inlineStr">
        <is>
          <t>Core</t>
        </is>
      </c>
      <c r="H8" s="22" t="inlineStr">
        <is>
          <t>Built</t>
        </is>
      </c>
    </row>
    <row r="9" ht="28" customHeight="1">
      <c r="A9" s="5" t="n">
        <v>8</v>
      </c>
      <c r="B9" s="6" t="inlineStr">
        <is>
          <t>Structure &amp; Delimiting</t>
        </is>
      </c>
      <c r="C9" s="7" t="inlineStr">
        <is>
          <t>Output tagging</t>
        </is>
      </c>
      <c r="D9" s="6" t="inlineStr">
        <is>
          <t>Ask for the answer in named tags so you can find/reuse parts.</t>
        </is>
      </c>
      <c r="E9" s="22" t="inlineStr">
        <is>
          <t>Beginner</t>
        </is>
      </c>
      <c r="F9" s="23" t="inlineStr">
        <is>
          <t>Module 4 — Structure &amp; Formatting</t>
        </is>
      </c>
      <c r="G9" s="22" t="inlineStr">
        <is>
          <t>Core</t>
        </is>
      </c>
      <c r="H9" s="22" t="inlineStr">
        <is>
          <t>Built</t>
        </is>
      </c>
    </row>
    <row r="10" ht="28" customHeight="1">
      <c r="A10" s="2" t="n">
        <v>9</v>
      </c>
      <c r="B10" s="3" t="inlineStr">
        <is>
          <t>Structure &amp; Delimiting</t>
        </is>
      </c>
      <c r="C10" s="4" t="inlineStr">
        <is>
          <t>Multi-document tagging</t>
        </is>
      </c>
      <c r="D10" s="3" t="inlineStr">
        <is>
          <t>Give each input its own tag for clean comparison.</t>
        </is>
      </c>
      <c r="E10" s="22" t="inlineStr">
        <is>
          <t>Beginner</t>
        </is>
      </c>
      <c r="F10" s="23" t="inlineStr">
        <is>
          <t>Module 4 — Structure &amp; Formatting</t>
        </is>
      </c>
      <c r="G10" s="22" t="inlineStr">
        <is>
          <t>Appendix</t>
        </is>
      </c>
      <c r="H10" s="22" t="inlineStr">
        <is>
          <t>Built</t>
        </is>
      </c>
    </row>
    <row r="11" ht="28" customHeight="1">
      <c r="A11" s="5" t="n">
        <v>10</v>
      </c>
      <c r="B11" s="6" t="inlineStr">
        <is>
          <t>Structure &amp; Delimiting</t>
        </is>
      </c>
      <c r="C11" s="7" t="inlineStr">
        <is>
          <t>Spotlighting / datamarking</t>
        </is>
      </c>
      <c r="D11" s="6" t="inlineStr">
        <is>
          <t>Mark untrusted input so the model treats it as data, not instructions.</t>
        </is>
      </c>
      <c r="E11" s="22" t="inlineStr">
        <is>
          <t>Advanced</t>
        </is>
      </c>
      <c r="F11" s="23" t="inlineStr">
        <is>
          <t>Module 14 — Reliability, Safety &amp; Anti-Patterns</t>
        </is>
      </c>
      <c r="G11" s="22" t="inlineStr">
        <is>
          <t>Core</t>
        </is>
      </c>
      <c r="H11" s="22" t="inlineStr">
        <is>
          <t>Built</t>
        </is>
      </c>
    </row>
    <row r="12" ht="28" customHeight="1">
      <c r="A12" s="2" t="n">
        <v>11</v>
      </c>
      <c r="B12" s="3" t="inlineStr">
        <is>
          <t>Structure &amp; Delimiting</t>
        </is>
      </c>
      <c r="C12" s="4" t="inlineStr">
        <is>
          <t>Reusable prompt blocks</t>
        </is>
      </c>
      <c r="D12" s="3" t="inlineStr">
        <is>
          <t>Compose prompts from swappable blocks (role / source / format / criteria / fallback).</t>
        </is>
      </c>
      <c r="E12" s="22" t="inlineStr">
        <is>
          <t>Beginner</t>
        </is>
      </c>
      <c r="F12" s="23" t="inlineStr">
        <is>
          <t>Module 4 — Structure &amp; Formatting</t>
        </is>
      </c>
      <c r="G12" s="22" t="inlineStr">
        <is>
          <t>Appendix</t>
        </is>
      </c>
      <c r="H12" s="22" t="inlineStr">
        <is>
          <t>Built</t>
        </is>
      </c>
    </row>
    <row r="13" ht="28" customHeight="1">
      <c r="A13" s="5" t="n">
        <v>12</v>
      </c>
      <c r="B13" s="6" t="inlineStr">
        <is>
          <t>Output Control</t>
        </is>
      </c>
      <c r="C13" s="7" t="inlineStr">
        <is>
          <t>Output contract</t>
        </is>
      </c>
      <c r="D13" s="6" t="inlineStr">
        <is>
          <t>Specify the exact shape of the answer (table, sections, JSON, 'final answer only').</t>
        </is>
      </c>
      <c r="E13" s="22" t="inlineStr">
        <is>
          <t>Beginner</t>
        </is>
      </c>
      <c r="F13" s="23" t="inlineStr">
        <is>
          <t>Module 7 — Controlling the Output</t>
        </is>
      </c>
      <c r="G13" s="22" t="inlineStr">
        <is>
          <t>Core</t>
        </is>
      </c>
      <c r="H13" s="22" t="inlineStr">
        <is>
          <t>Built</t>
        </is>
      </c>
    </row>
    <row r="14" ht="28" customHeight="1">
      <c r="A14" s="2" t="n">
        <v>13</v>
      </c>
      <c r="B14" s="3" t="inlineStr">
        <is>
          <t>Output Control</t>
        </is>
      </c>
      <c r="C14" s="4" t="inlineStr">
        <is>
          <t>Schema / template fill-in</t>
        </is>
      </c>
      <c r="D14" s="3" t="inlineStr">
        <is>
          <t>Give a fixed template with blanks/fields to populate.</t>
        </is>
      </c>
      <c r="E14" s="22" t="inlineStr">
        <is>
          <t>Beginner</t>
        </is>
      </c>
      <c r="F14" s="23" t="inlineStr">
        <is>
          <t>Module 7 — Controlling the Output</t>
        </is>
      </c>
      <c r="G14" s="22" t="inlineStr">
        <is>
          <t>Core</t>
        </is>
      </c>
      <c r="H14" s="22" t="inlineStr">
        <is>
          <t>Built</t>
        </is>
      </c>
    </row>
    <row r="15" ht="28" customHeight="1">
      <c r="A15" s="5" t="n">
        <v>14</v>
      </c>
      <c r="B15" s="6" t="inlineStr">
        <is>
          <t>Output Control</t>
        </is>
      </c>
      <c r="C15" s="7" t="inlineStr">
        <is>
          <t>Structured Outputs (JSON schema)</t>
        </is>
      </c>
      <c r="D15" s="6" t="inlineStr">
        <is>
          <t>Enforce a guaranteed JSON schema for the output.</t>
        </is>
      </c>
      <c r="E15" s="22" t="inlineStr">
        <is>
          <t>Beginner</t>
        </is>
      </c>
      <c r="F15" s="23" t="inlineStr">
        <is>
          <t>Module 7 — Controlling the Output</t>
        </is>
      </c>
      <c r="G15" s="22" t="inlineStr">
        <is>
          <t>Appendix</t>
        </is>
      </c>
      <c r="H15" s="22" t="inlineStr">
        <is>
          <t>Built</t>
        </is>
      </c>
    </row>
    <row r="16" ht="28" customHeight="1">
      <c r="A16" s="2" t="n">
        <v>15</v>
      </c>
      <c r="B16" s="3" t="inlineStr">
        <is>
          <t>Output Control</t>
        </is>
      </c>
      <c r="C16" s="4" t="inlineStr">
        <is>
          <t>Prefill / speaking for Claude</t>
        </is>
      </c>
      <c r="D16" s="3" t="inlineStr">
        <is>
          <t>Seed the start of Claude's reply to control format or skip preamble.</t>
        </is>
      </c>
      <c r="E16" s="22" t="inlineStr">
        <is>
          <t>Beginner</t>
        </is>
      </c>
      <c r="F16" s="23" t="inlineStr">
        <is>
          <t>Module 7 — Controlling the Output</t>
        </is>
      </c>
      <c r="G16" s="22" t="inlineStr">
        <is>
          <t>Core</t>
        </is>
      </c>
      <c r="H16" s="22" t="inlineStr">
        <is>
          <t>Built</t>
        </is>
      </c>
    </row>
    <row r="17" ht="28" customHeight="1">
      <c r="A17" s="5" t="n">
        <v>16</v>
      </c>
      <c r="B17" s="6" t="inlineStr">
        <is>
          <t>Examples</t>
        </is>
      </c>
      <c r="C17" s="7" t="inlineStr">
        <is>
          <t>Multishot / few-shot</t>
        </is>
      </c>
      <c r="D17" s="6" t="inlineStr">
        <is>
          <t>Show 3–5 relevant, diverse examples of input→ideal output.</t>
        </is>
      </c>
      <c r="E17" s="22" t="inlineStr">
        <is>
          <t>Beginner</t>
        </is>
      </c>
      <c r="F17" s="23" t="inlineStr">
        <is>
          <t>Module 6 — Examples</t>
        </is>
      </c>
      <c r="G17" s="22" t="inlineStr">
        <is>
          <t>Core</t>
        </is>
      </c>
      <c r="H17" s="22" t="inlineStr">
        <is>
          <t>Built</t>
        </is>
      </c>
    </row>
    <row r="18" ht="28" customHeight="1">
      <c r="A18" s="2" t="n">
        <v>17</v>
      </c>
      <c r="B18" s="3" t="inlineStr">
        <is>
          <t>Examples</t>
        </is>
      </c>
      <c r="C18" s="4" t="inlineStr">
        <is>
          <t>Contrastive examples (good vs. bad)</t>
        </is>
      </c>
      <c r="D18" s="3" t="inlineStr">
        <is>
          <t>Show a correct example plus a clearly-labeled bad one.</t>
        </is>
      </c>
      <c r="E18" s="22" t="inlineStr">
        <is>
          <t>Beginner</t>
        </is>
      </c>
      <c r="F18" s="23" t="inlineStr">
        <is>
          <t>Module 6 — Examples</t>
        </is>
      </c>
      <c r="G18" s="22" t="inlineStr">
        <is>
          <t>Core</t>
        </is>
      </c>
      <c r="H18" s="22" t="inlineStr">
        <is>
          <t>Built</t>
        </is>
      </c>
    </row>
    <row r="19" ht="28" customHeight="1">
      <c r="A19" s="5" t="n">
        <v>18</v>
      </c>
      <c r="B19" s="6" t="inlineStr">
        <is>
          <t>Examples</t>
        </is>
      </c>
      <c r="C19" s="7" t="inlineStr">
        <is>
          <t>Example selection &amp; ordering</t>
        </is>
      </c>
      <c r="D19" s="6" t="inlineStr">
        <is>
          <t>Pick representative, diverse examples; mind order/recency.</t>
        </is>
      </c>
      <c r="E19" s="22" t="inlineStr">
        <is>
          <t>Beginner</t>
        </is>
      </c>
      <c r="F19" s="23" t="inlineStr">
        <is>
          <t>Module 6 — Examples</t>
        </is>
      </c>
      <c r="G19" s="22" t="inlineStr">
        <is>
          <t>Core</t>
        </is>
      </c>
      <c r="H19" s="22" t="inlineStr">
        <is>
          <t>Built</t>
        </is>
      </c>
    </row>
    <row r="20" ht="28" customHeight="1">
      <c r="A20" s="2" t="n">
        <v>19</v>
      </c>
      <c r="B20" s="3" t="inlineStr">
        <is>
          <t>Role &amp; Audience</t>
        </is>
      </c>
      <c r="C20" s="4" t="inlineStr">
        <is>
          <t>Give Claude a role</t>
        </is>
      </c>
      <c r="D20" s="3" t="inlineStr">
        <is>
          <t>Set a role/persona to focus tone, vocabulary, assumptions.</t>
        </is>
      </c>
      <c r="E20" s="22" t="inlineStr">
        <is>
          <t>Beginner</t>
        </is>
      </c>
      <c r="F20" s="23" t="inlineStr">
        <is>
          <t>Module 5 — Roles, Personas &amp; Audience</t>
        </is>
      </c>
      <c r="G20" s="22" t="inlineStr">
        <is>
          <t>Core</t>
        </is>
      </c>
      <c r="H20" s="22" t="inlineStr">
        <is>
          <t>Built</t>
        </is>
      </c>
    </row>
    <row r="21" ht="28" customHeight="1">
      <c r="A21" s="5" t="n">
        <v>20</v>
      </c>
      <c r="B21" s="6" t="inlineStr">
        <is>
          <t>Role &amp; Audience</t>
        </is>
      </c>
      <c r="C21" s="7" t="inlineStr">
        <is>
          <t>Standing-instruction layers</t>
        </is>
      </c>
      <c r="D21" s="6" t="inlineStr">
        <is>
          <t>Set persistent role/rules via Profile (global), Project, or a Skill.</t>
        </is>
      </c>
      <c r="E21" s="22" t="inlineStr">
        <is>
          <t>Beginner</t>
        </is>
      </c>
      <c r="F21" s="23" t="inlineStr">
        <is>
          <t>Module 5 — Roles, Personas &amp; Audience</t>
        </is>
      </c>
      <c r="G21" s="22" t="inlineStr">
        <is>
          <t>Appendix</t>
        </is>
      </c>
      <c r="H21" s="22" t="inlineStr">
        <is>
          <t>Built</t>
        </is>
      </c>
    </row>
    <row r="22" ht="28" customHeight="1">
      <c r="A22" s="2" t="n">
        <v>21</v>
      </c>
      <c r="B22" s="3" t="inlineStr">
        <is>
          <t>Role &amp; Audience</t>
        </is>
      </c>
      <c r="C22" s="4" t="inlineStr">
        <is>
          <t>Audience transformation</t>
        </is>
      </c>
      <c r="D22" s="3" t="inlineStr">
        <is>
          <t>Regenerate the same source for a different audience.</t>
        </is>
      </c>
      <c r="E22" s="22" t="inlineStr">
        <is>
          <t>Beginner</t>
        </is>
      </c>
      <c r="F22" s="23" t="inlineStr">
        <is>
          <t>Module 5 — Roles, Personas &amp; Audience</t>
        </is>
      </c>
      <c r="G22" s="22" t="inlineStr">
        <is>
          <t>Core</t>
        </is>
      </c>
      <c r="H22" s="22" t="inlineStr">
        <is>
          <t>Built</t>
        </is>
      </c>
    </row>
    <row r="23" ht="28" customHeight="1">
      <c r="A23" s="5" t="n">
        <v>22</v>
      </c>
      <c r="B23" s="6" t="inlineStr">
        <is>
          <t>Role &amp; Audience</t>
        </is>
      </c>
      <c r="C23" s="7" t="inlineStr">
        <is>
          <t>Tone calibration with anchors</t>
        </is>
      </c>
      <c r="D23" s="6" t="inlineStr">
        <is>
          <t>Steer voice with concrete anchors, not vague adjectives.</t>
        </is>
      </c>
      <c r="E23" s="22" t="inlineStr">
        <is>
          <t>Beginner</t>
        </is>
      </c>
      <c r="F23" s="23" t="inlineStr">
        <is>
          <t>Module 5 — Roles, Personas &amp; Audience</t>
        </is>
      </c>
      <c r="G23" s="22" t="inlineStr">
        <is>
          <t>Core</t>
        </is>
      </c>
      <c r="H23" s="22" t="inlineStr">
        <is>
          <t>Built</t>
        </is>
      </c>
    </row>
    <row r="24" ht="28" customHeight="1">
      <c r="A24" s="2" t="n">
        <v>23</v>
      </c>
      <c r="B24" s="3" t="inlineStr">
        <is>
          <t>Role &amp; Audience</t>
        </is>
      </c>
      <c r="C24" s="4" t="inlineStr">
        <is>
          <t>Keep Claude in character</t>
        </is>
      </c>
      <c r="D24" s="3" t="inlineStr">
        <is>
          <t>Use detailed role traits to hold a persona across a chat.</t>
        </is>
      </c>
      <c r="E24" s="22" t="inlineStr">
        <is>
          <t>Beginner</t>
        </is>
      </c>
      <c r="F24" s="23" t="inlineStr">
        <is>
          <t>Module 5 — Roles, Personas &amp; Audience</t>
        </is>
      </c>
      <c r="G24" s="22" t="inlineStr">
        <is>
          <t>Core</t>
        </is>
      </c>
      <c r="H24" s="22" t="inlineStr">
        <is>
          <t>Built</t>
        </is>
      </c>
    </row>
    <row r="25" ht="28" customHeight="1">
      <c r="A25" s="5" t="n">
        <v>24</v>
      </c>
      <c r="B25" s="6" t="inlineStr">
        <is>
          <t>Long Input &amp; Grounding</t>
        </is>
      </c>
      <c r="C25" s="7" t="inlineStr">
        <is>
          <t>Long-context prompting</t>
        </is>
      </c>
      <c r="D25" s="6" t="inlineStr">
        <is>
          <t>Put long docs/data at the top; the question at the bottom.</t>
        </is>
      </c>
      <c r="E25" s="22" t="inlineStr">
        <is>
          <t>Intermediate</t>
        </is>
      </c>
      <c r="F25" s="23" t="inlineStr">
        <is>
          <t>Module 8 — Grounding &amp; Working with Sources</t>
        </is>
      </c>
      <c r="G25" s="22" t="inlineStr">
        <is>
          <t>Appendix</t>
        </is>
      </c>
      <c r="H25" s="22" t="inlineStr">
        <is>
          <t>Built</t>
        </is>
      </c>
    </row>
    <row r="26" ht="28" customHeight="1">
      <c r="A26" s="2" t="n">
        <v>25</v>
      </c>
      <c r="B26" s="3" t="inlineStr">
        <is>
          <t>Long Input &amp; Grounding</t>
        </is>
      </c>
      <c r="C26" s="4" t="inlineStr">
        <is>
          <t>Quote-first grounding</t>
        </is>
      </c>
      <c r="D26" s="3" t="inlineStr">
        <is>
          <t>Have Claude extract relevant quotes before answering.</t>
        </is>
      </c>
      <c r="E26" s="22" t="inlineStr">
        <is>
          <t>Intermediate</t>
        </is>
      </c>
      <c r="F26" s="23" t="inlineStr">
        <is>
          <t>Module 8 — Grounding &amp; Working with Sources</t>
        </is>
      </c>
      <c r="G26" s="22" t="inlineStr">
        <is>
          <t>Core</t>
        </is>
      </c>
      <c r="H26" s="22" t="inlineStr">
        <is>
          <t>Built</t>
        </is>
      </c>
    </row>
    <row r="27" ht="28" customHeight="1">
      <c r="A27" s="5" t="n">
        <v>26</v>
      </c>
      <c r="B27" s="6" t="inlineStr">
        <is>
          <t>Long Input &amp; Grounding</t>
        </is>
      </c>
      <c r="C27" s="7" t="inlineStr">
        <is>
          <t>Source-grounded answering</t>
        </is>
      </c>
      <c r="D27" s="6" t="inlineStr">
        <is>
          <t>Answer using only the provided source; cite it.</t>
        </is>
      </c>
      <c r="E27" s="22" t="inlineStr">
        <is>
          <t>Intermediate</t>
        </is>
      </c>
      <c r="F27" s="23" t="inlineStr">
        <is>
          <t>Module 8 — Grounding &amp; Working with Sources</t>
        </is>
      </c>
      <c r="G27" s="22" t="inlineStr">
        <is>
          <t>Core</t>
        </is>
      </c>
      <c r="H27" s="22" t="inlineStr">
        <is>
          <t>Built</t>
        </is>
      </c>
    </row>
    <row r="28" ht="28" customHeight="1">
      <c r="A28" s="2" t="n">
        <v>27</v>
      </c>
      <c r="B28" s="3" t="inlineStr">
        <is>
          <t>Long Input &amp; Grounding</t>
        </is>
      </c>
      <c r="C28" s="4" t="inlineStr">
        <is>
          <t>Give-the-model-an-out</t>
        </is>
      </c>
      <c r="D28" s="3" t="inlineStr">
        <is>
          <t>Permit 'I don't know' / 'Not stated in the source.'</t>
        </is>
      </c>
      <c r="E28" s="22" t="inlineStr">
        <is>
          <t>Intermediate</t>
        </is>
      </c>
      <c r="F28" s="23" t="inlineStr">
        <is>
          <t>Module 8 — Grounding &amp; Working with Sources</t>
        </is>
      </c>
      <c r="G28" s="22" t="inlineStr">
        <is>
          <t>Core</t>
        </is>
      </c>
      <c r="H28" s="22" t="inlineStr">
        <is>
          <t>Built</t>
        </is>
      </c>
    </row>
    <row r="29" ht="28" customHeight="1">
      <c r="A29" s="5" t="n">
        <v>28</v>
      </c>
      <c r="B29" s="6" t="inlineStr">
        <is>
          <t>Long Input &amp; Grounding</t>
        </is>
      </c>
      <c r="C29" s="7" t="inlineStr">
        <is>
          <t>Facts vs. assumptions</t>
        </is>
      </c>
      <c r="D29" s="6" t="inlineStr">
        <is>
          <t>Make Claude separate what the source says from its inferences.</t>
        </is>
      </c>
      <c r="E29" s="22" t="inlineStr">
        <is>
          <t>Intermediate</t>
        </is>
      </c>
      <c r="F29" s="23" t="inlineStr">
        <is>
          <t>Module 8 — Grounding &amp; Working with Sources</t>
        </is>
      </c>
      <c r="G29" s="22" t="inlineStr">
        <is>
          <t>Core</t>
        </is>
      </c>
      <c r="H29" s="22" t="inlineStr">
        <is>
          <t>Built</t>
        </is>
      </c>
    </row>
    <row r="30" ht="28" customHeight="1">
      <c r="A30" s="2" t="n">
        <v>29</v>
      </c>
      <c r="B30" s="3" t="inlineStr">
        <is>
          <t>Long Input &amp; Grounding</t>
        </is>
      </c>
      <c r="C30" s="4" t="inlineStr">
        <is>
          <t>Extract → transform → produce</t>
        </is>
      </c>
      <c r="D30" s="3" t="inlineStr">
        <is>
          <t>One prompt that pulls facts, reshapes them, then writes the deliverable.</t>
        </is>
      </c>
      <c r="E30" s="22" t="inlineStr">
        <is>
          <t>Intermediate</t>
        </is>
      </c>
      <c r="F30" s="23" t="inlineStr">
        <is>
          <t>Module 10 — Decomposition &amp; Multi-Step Tasks</t>
        </is>
      </c>
      <c r="G30" s="22" t="inlineStr">
        <is>
          <t>Core</t>
        </is>
      </c>
      <c r="H30" s="22" t="inlineStr">
        <is>
          <t>Built</t>
        </is>
      </c>
    </row>
    <row r="31" ht="28" customHeight="1">
      <c r="A31" s="5" t="n">
        <v>30</v>
      </c>
      <c r="B31" s="6" t="inlineStr">
        <is>
          <t>Long Input &amp; Grounding</t>
        </is>
      </c>
      <c r="C31" s="7" t="inlineStr">
        <is>
          <t>Map-reduce summarization</t>
        </is>
      </c>
      <c r="D31" s="6" t="inlineStr">
        <is>
          <t>Chunk a long doc, summarize each, then combine.</t>
        </is>
      </c>
      <c r="E31" s="22" t="inlineStr">
        <is>
          <t>Intermediate</t>
        </is>
      </c>
      <c r="F31" s="23" t="inlineStr">
        <is>
          <t>Module 8 — Grounding &amp; Working with Sources</t>
        </is>
      </c>
      <c r="G31" s="22" t="inlineStr">
        <is>
          <t>Appendix</t>
        </is>
      </c>
      <c r="H31" s="22" t="inlineStr">
        <is>
          <t>Built</t>
        </is>
      </c>
    </row>
    <row r="32" ht="28" customHeight="1">
      <c r="A32" s="2" t="n">
        <v>31</v>
      </c>
      <c r="B32" s="3" t="inlineStr">
        <is>
          <t>Long Input &amp; Grounding</t>
        </is>
      </c>
      <c r="C32" s="4" t="inlineStr">
        <is>
          <t>Edge-case / fallback</t>
        </is>
      </c>
      <c r="D32" s="3" t="inlineStr">
        <is>
          <t>Tell Claude what to do with missing/ambiguous input.</t>
        </is>
      </c>
      <c r="E32" s="22" t="inlineStr">
        <is>
          <t>Intermediate</t>
        </is>
      </c>
      <c r="F32" s="23" t="inlineStr">
        <is>
          <t>Module 11 — Verification &amp; Self-Correction</t>
        </is>
      </c>
      <c r="G32" s="22" t="inlineStr">
        <is>
          <t>Appendix</t>
        </is>
      </c>
      <c r="H32" s="22" t="inlineStr">
        <is>
          <t>Built</t>
        </is>
      </c>
    </row>
    <row r="33" ht="28" customHeight="1">
      <c r="A33" s="5" t="n">
        <v>32</v>
      </c>
      <c r="B33" s="6" t="inlineStr">
        <is>
          <t>Reasoning</t>
        </is>
      </c>
      <c r="C33" s="7" t="inlineStr">
        <is>
          <t>Chain-of-thought (CoT)</t>
        </is>
      </c>
      <c r="D33" s="6" t="inlineStr">
        <is>
          <t>Prompt step-by-step reasoning before the answer.</t>
        </is>
      </c>
      <c r="E33" s="22" t="inlineStr">
        <is>
          <t>Intermediate</t>
        </is>
      </c>
      <c r="F33" s="23" t="inlineStr">
        <is>
          <t>Module 9 — Reasoning &amp; Chain-of-Thought</t>
        </is>
      </c>
      <c r="G33" s="22" t="inlineStr">
        <is>
          <t>Core</t>
        </is>
      </c>
      <c r="H33" s="22" t="inlineStr">
        <is>
          <t>Built</t>
        </is>
      </c>
    </row>
    <row r="34" ht="28" customHeight="1">
      <c r="A34" s="2" t="n">
        <v>33</v>
      </c>
      <c r="B34" s="3" t="inlineStr">
        <is>
          <t>Reasoning</t>
        </is>
      </c>
      <c r="C34" s="4" t="inlineStr">
        <is>
          <t>Zero-shot CoT</t>
        </is>
      </c>
      <c r="D34" s="3" t="inlineStr">
        <is>
          <t>Trigger reasoning with 'let's think step by step' (no examples).</t>
        </is>
      </c>
      <c r="E34" s="22" t="inlineStr">
        <is>
          <t>Intermediate</t>
        </is>
      </c>
      <c r="F34" s="23" t="inlineStr">
        <is>
          <t>Module 9 — Reasoning &amp; Chain-of-Thought</t>
        </is>
      </c>
      <c r="G34" s="22" t="inlineStr">
        <is>
          <t>Core</t>
        </is>
      </c>
      <c r="H34" s="22" t="inlineStr">
        <is>
          <t>Built</t>
        </is>
      </c>
    </row>
    <row r="35" ht="28" customHeight="1">
      <c r="A35" s="5" t="n">
        <v>34</v>
      </c>
      <c r="B35" s="6" t="inlineStr">
        <is>
          <t>Reasoning</t>
        </is>
      </c>
      <c r="C35" s="7" t="inlineStr">
        <is>
          <t>Structured thinking tags</t>
        </is>
      </c>
      <c r="D35" s="6" t="inlineStr">
        <is>
          <t>Have Claude reason in &lt;thinking&gt;, answer in &lt;answer&gt;.</t>
        </is>
      </c>
      <c r="E35" s="22" t="inlineStr">
        <is>
          <t>Intermediate</t>
        </is>
      </c>
      <c r="F35" s="23" t="inlineStr">
        <is>
          <t>Module 9 — Reasoning &amp; Chain-of-Thought</t>
        </is>
      </c>
      <c r="G35" s="22" t="inlineStr">
        <is>
          <t>Appendix</t>
        </is>
      </c>
      <c r="H35" s="22" t="inlineStr">
        <is>
          <t>Built</t>
        </is>
      </c>
    </row>
    <row r="36" ht="28" customHeight="1">
      <c r="A36" s="2" t="n">
        <v>35</v>
      </c>
      <c r="B36" s="3" t="inlineStr">
        <is>
          <t>Reasoning</t>
        </is>
      </c>
      <c r="C36" s="4" t="inlineStr">
        <is>
          <t>Adaptive thinking + Effort</t>
        </is>
      </c>
      <c r="D36" s="3" t="inlineStr">
        <is>
          <t>Let the model decide how much to think; tune the Effort level.</t>
        </is>
      </c>
      <c r="E36" s="22" t="inlineStr">
        <is>
          <t>Intermediate</t>
        </is>
      </c>
      <c r="F36" s="23" t="inlineStr">
        <is>
          <t>Module 9 — Reasoning &amp; Chain-of-Thought</t>
        </is>
      </c>
      <c r="G36" s="22" t="inlineStr">
        <is>
          <t>Core</t>
        </is>
      </c>
      <c r="H36" s="22" t="inlineStr">
        <is>
          <t>Built</t>
        </is>
      </c>
    </row>
    <row r="37" ht="28" customHeight="1">
      <c r="A37" s="5" t="n">
        <v>36</v>
      </c>
      <c r="B37" s="6" t="inlineStr">
        <is>
          <t>Reasoning</t>
        </is>
      </c>
      <c r="C37" s="7" t="inlineStr">
        <is>
          <t>Self-consistency</t>
        </is>
      </c>
      <c r="D37" s="6" t="inlineStr">
        <is>
          <t>Sample several reasoning paths; take the majority answer.</t>
        </is>
      </c>
      <c r="E37" s="22" t="inlineStr">
        <is>
          <t>Intermediate</t>
        </is>
      </c>
      <c r="F37" s="23" t="inlineStr">
        <is>
          <t>Module 11 — Verification &amp; Self-Correction</t>
        </is>
      </c>
      <c r="G37" s="22" t="inlineStr">
        <is>
          <t>Appendix</t>
        </is>
      </c>
      <c r="H37" s="22" t="inlineStr">
        <is>
          <t>Built</t>
        </is>
      </c>
    </row>
    <row r="38" ht="28" customHeight="1">
      <c r="A38" s="2" t="n">
        <v>37</v>
      </c>
      <c r="B38" s="3" t="inlineStr">
        <is>
          <t>Reasoning</t>
        </is>
      </c>
      <c r="C38" s="4" t="inlineStr">
        <is>
          <t>Least-to-most / decomposition</t>
        </is>
      </c>
      <c r="D38" s="3" t="inlineStr">
        <is>
          <t>Break a hard problem into ordered subproblems, solve in sequence.</t>
        </is>
      </c>
      <c r="E38" s="22" t="inlineStr">
        <is>
          <t>Intermediate</t>
        </is>
      </c>
      <c r="F38" s="23" t="inlineStr">
        <is>
          <t>Module 10 — Decomposition &amp; Multi-Step Tasks</t>
        </is>
      </c>
      <c r="G38" s="22" t="inlineStr">
        <is>
          <t>Core</t>
        </is>
      </c>
      <c r="H38" s="22" t="inlineStr">
        <is>
          <t>Built</t>
        </is>
      </c>
    </row>
    <row r="39">
      <c r="A39" s="5" t="n">
        <v>38</v>
      </c>
      <c r="B39" s="6" t="inlineStr">
        <is>
          <t>Reasoning</t>
        </is>
      </c>
      <c r="C39" s="7" t="inlineStr">
        <is>
          <t>Step-back prompting</t>
        </is>
      </c>
      <c r="D39" s="6" t="inlineStr">
        <is>
          <t>Ask the general principle first, then apply it.</t>
        </is>
      </c>
      <c r="E39" s="22" t="inlineStr">
        <is>
          <t>Intermediate</t>
        </is>
      </c>
      <c r="F39" s="23" t="inlineStr">
        <is>
          <t>Module 10 — Decomposition &amp; Multi-Step Tasks</t>
        </is>
      </c>
      <c r="G39" s="22" t="inlineStr">
        <is>
          <t>Core</t>
        </is>
      </c>
      <c r="H39" s="22" t="inlineStr">
        <is>
          <t>Built</t>
        </is>
      </c>
    </row>
    <row r="40" ht="28" customHeight="1">
      <c r="A40" s="2" t="n">
        <v>39</v>
      </c>
      <c r="B40" s="3" t="inlineStr">
        <is>
          <t>Reasoning</t>
        </is>
      </c>
      <c r="C40" s="4" t="inlineStr">
        <is>
          <t>Plan-and-solve</t>
        </is>
      </c>
      <c r="D40" s="3" t="inlineStr">
        <is>
          <t>Have the model make a plan, then execute it.</t>
        </is>
      </c>
      <c r="E40" s="22" t="inlineStr">
        <is>
          <t>Intermediate</t>
        </is>
      </c>
      <c r="F40" s="23" t="inlineStr">
        <is>
          <t>Module 10 — Decomposition &amp; Multi-Step Tasks</t>
        </is>
      </c>
      <c r="G40" s="22" t="inlineStr">
        <is>
          <t>Core</t>
        </is>
      </c>
      <c r="H40" s="22" t="inlineStr">
        <is>
          <t>Built</t>
        </is>
      </c>
    </row>
    <row r="41" ht="28" customHeight="1">
      <c r="A41" s="5" t="n">
        <v>40</v>
      </c>
      <c r="B41" s="6" t="inlineStr">
        <is>
          <t>Reasoning</t>
        </is>
      </c>
      <c r="C41" s="7" t="inlineStr">
        <is>
          <t>Self-ask</t>
        </is>
      </c>
      <c r="D41" s="6" t="inlineStr">
        <is>
          <t>Model poses &amp; answers its own sub-questions first.</t>
        </is>
      </c>
      <c r="E41" s="22" t="inlineStr">
        <is>
          <t>Intermediate</t>
        </is>
      </c>
      <c r="F41" s="23" t="inlineStr">
        <is>
          <t>Module 10 — Decomposition &amp; Multi-Step Tasks</t>
        </is>
      </c>
      <c r="G41" s="22" t="inlineStr">
        <is>
          <t>Appendix</t>
        </is>
      </c>
      <c r="H41" s="22" t="inlineStr">
        <is>
          <t>Built</t>
        </is>
      </c>
    </row>
    <row r="42" ht="28" customHeight="1">
      <c r="A42" s="2" t="n">
        <v>41</v>
      </c>
      <c r="B42" s="3" t="inlineStr">
        <is>
          <t>Reasoning</t>
        </is>
      </c>
      <c r="C42" s="4" t="inlineStr">
        <is>
          <t>Generated knowledge</t>
        </is>
      </c>
      <c r="D42" s="3" t="inlineStr">
        <is>
          <t>Have Claude list relevant facts first, then answer.</t>
        </is>
      </c>
      <c r="E42" s="22" t="inlineStr">
        <is>
          <t>Intermediate</t>
        </is>
      </c>
      <c r="F42" s="23" t="inlineStr">
        <is>
          <t>Module 10 — Decomposition &amp; Multi-Step Tasks</t>
        </is>
      </c>
      <c r="G42" s="22" t="inlineStr">
        <is>
          <t>Appendix</t>
        </is>
      </c>
      <c r="H42" s="22" t="inlineStr">
        <is>
          <t>Built</t>
        </is>
      </c>
    </row>
    <row r="43" ht="28" customHeight="1">
      <c r="A43" s="5" t="n">
        <v>42</v>
      </c>
      <c r="B43" s="6" t="inlineStr">
        <is>
          <t>Reasoning</t>
        </is>
      </c>
      <c r="C43" s="7" t="inlineStr">
        <is>
          <t>Analogical prompting</t>
        </is>
      </c>
      <c r="D43" s="6" t="inlineStr">
        <is>
          <t>Have Claude self-generate a similar solved example first.</t>
        </is>
      </c>
      <c r="E43" s="22" t="inlineStr">
        <is>
          <t>Advanced</t>
        </is>
      </c>
      <c r="F43" s="23" t="inlineStr">
        <is>
          <t>Module 15 — Advanced Reasoning (read-only)</t>
        </is>
      </c>
      <c r="G43" s="22" t="inlineStr">
        <is>
          <t>Reference</t>
        </is>
      </c>
      <c r="H43" s="22" t="inlineStr">
        <is>
          <t>Built</t>
        </is>
      </c>
    </row>
    <row r="44" ht="28" customHeight="1">
      <c r="A44" s="2" t="n">
        <v>43</v>
      </c>
      <c r="B44" s="3" t="inlineStr">
        <is>
          <t>Reasoning</t>
        </is>
      </c>
      <c r="C44" s="4" t="inlineStr">
        <is>
          <t>Skeleton-of-thought</t>
        </is>
      </c>
      <c r="D44" s="3" t="inlineStr">
        <is>
          <t>Outline the answer first, then expand each point.</t>
        </is>
      </c>
      <c r="E44" s="22" t="inlineStr">
        <is>
          <t>Intermediate</t>
        </is>
      </c>
      <c r="F44" s="23" t="inlineStr">
        <is>
          <t>Module 10 — Decomposition &amp; Multi-Step Tasks</t>
        </is>
      </c>
      <c r="G44" s="22" t="inlineStr">
        <is>
          <t>Appendix</t>
        </is>
      </c>
      <c r="H44" s="22" t="inlineStr">
        <is>
          <t>Built</t>
        </is>
      </c>
    </row>
    <row r="45" ht="28" customHeight="1">
      <c r="A45" s="5" t="n">
        <v>44</v>
      </c>
      <c r="B45" s="6" t="inlineStr">
        <is>
          <t>Reasoning</t>
        </is>
      </c>
      <c r="C45" s="7" t="inlineStr">
        <is>
          <t>Rephrase-and-respond</t>
        </is>
      </c>
      <c r="D45" s="6" t="inlineStr">
        <is>
          <t>Have Claude restate the question, then answer.</t>
        </is>
      </c>
      <c r="E45" s="22" t="inlineStr">
        <is>
          <t>Intermediate</t>
        </is>
      </c>
      <c r="F45" s="23" t="inlineStr">
        <is>
          <t>Module 9 — Reasoning &amp; Chain-of-Thought</t>
        </is>
      </c>
      <c r="G45" s="22" t="inlineStr">
        <is>
          <t>Appendix</t>
        </is>
      </c>
      <c r="H45" s="22" t="inlineStr">
        <is>
          <t>Built</t>
        </is>
      </c>
    </row>
    <row r="46" ht="28" customHeight="1">
      <c r="A46" s="2" t="n">
        <v>45</v>
      </c>
      <c r="B46" s="3" t="inlineStr">
        <is>
          <t>Reasoning</t>
        </is>
      </c>
      <c r="C46" s="4" t="inlineStr">
        <is>
          <t>Program-aided (think in code)</t>
        </is>
      </c>
      <c r="D46" s="3" t="inlineStr">
        <is>
          <t>Express reasoning as code; offload exact computation.</t>
        </is>
      </c>
      <c r="E46" s="22" t="inlineStr">
        <is>
          <t>Advanced</t>
        </is>
      </c>
      <c r="F46" s="23" t="inlineStr">
        <is>
          <t>Module 15 — Advanced Reasoning (read-only)</t>
        </is>
      </c>
      <c r="G46" s="22" t="inlineStr">
        <is>
          <t>Reference</t>
        </is>
      </c>
      <c r="H46" s="22" t="inlineStr">
        <is>
          <t>Built</t>
        </is>
      </c>
    </row>
    <row r="47" ht="28" customHeight="1">
      <c r="A47" s="5" t="n">
        <v>46</v>
      </c>
      <c r="B47" s="6" t="inlineStr">
        <is>
          <t>Reasoning</t>
        </is>
      </c>
      <c r="C47" s="7" t="inlineStr">
        <is>
          <t>Tree-of-Thoughts</t>
        </is>
      </c>
      <c r="D47" s="6" t="inlineStr">
        <is>
          <t>Explore/evaluate multiple reasoning branches, backtrack.</t>
        </is>
      </c>
      <c r="E47" s="22" t="inlineStr">
        <is>
          <t>Advanced</t>
        </is>
      </c>
      <c r="F47" s="23" t="inlineStr">
        <is>
          <t>Module 15 — Advanced Reasoning (read-only)</t>
        </is>
      </c>
      <c r="G47" s="22" t="inlineStr">
        <is>
          <t>Reference</t>
        </is>
      </c>
      <c r="H47" s="22" t="inlineStr">
        <is>
          <t>Built</t>
        </is>
      </c>
    </row>
    <row r="48" ht="28" customHeight="1">
      <c r="A48" s="2" t="n">
        <v>47</v>
      </c>
      <c r="B48" s="3" t="inlineStr">
        <is>
          <t>Reasoning</t>
        </is>
      </c>
      <c r="C48" s="4" t="inlineStr">
        <is>
          <t>Graph-of-Thoughts</t>
        </is>
      </c>
      <c r="D48" s="3" t="inlineStr">
        <is>
          <t>Reasoning as a graph of combinable thoughts.</t>
        </is>
      </c>
      <c r="E48" s="22" t="inlineStr">
        <is>
          <t>Advanced</t>
        </is>
      </c>
      <c r="F48" s="23" t="inlineStr">
        <is>
          <t>Module 15 — Advanced Reasoning (read-only)</t>
        </is>
      </c>
      <c r="G48" s="22" t="inlineStr">
        <is>
          <t>Reference</t>
        </is>
      </c>
      <c r="H48" s="22" t="inlineStr">
        <is>
          <t>Built</t>
        </is>
      </c>
    </row>
    <row r="49">
      <c r="A49" s="5" t="n">
        <v>48</v>
      </c>
      <c r="B49" s="6" t="inlineStr">
        <is>
          <t>Reasoning</t>
        </is>
      </c>
      <c r="C49" s="7" t="inlineStr">
        <is>
          <t>Self-Discover</t>
        </is>
      </c>
      <c r="D49" s="6" t="inlineStr">
        <is>
          <t>Model composes its own reasoning structure.</t>
        </is>
      </c>
      <c r="E49" s="22" t="inlineStr">
        <is>
          <t>Advanced</t>
        </is>
      </c>
      <c r="F49" s="23" t="inlineStr">
        <is>
          <t>Module 15 — Advanced Reasoning (read-only)</t>
        </is>
      </c>
      <c r="G49" s="22" t="inlineStr">
        <is>
          <t>Reference</t>
        </is>
      </c>
      <c r="H49" s="22" t="inlineStr">
        <is>
          <t>Built</t>
        </is>
      </c>
    </row>
    <row r="50" ht="28" customHeight="1">
      <c r="A50" s="2" t="n">
        <v>49</v>
      </c>
      <c r="B50" s="3" t="inlineStr">
        <is>
          <t>Reasoning</t>
        </is>
      </c>
      <c r="C50" s="4" t="inlineStr">
        <is>
          <t>Maieutic prompting</t>
        </is>
      </c>
      <c r="D50" s="3" t="inlineStr">
        <is>
          <t>Recursively resolve contradictory explanations.</t>
        </is>
      </c>
      <c r="E50" s="22" t="inlineStr">
        <is>
          <t>Advanced</t>
        </is>
      </c>
      <c r="F50" s="23" t="inlineStr">
        <is>
          <t>Module 15 — Advanced Reasoning (read-only)</t>
        </is>
      </c>
      <c r="G50" s="22" t="inlineStr">
        <is>
          <t>Reference</t>
        </is>
      </c>
      <c r="H50" s="22" t="inlineStr">
        <is>
          <t>Built</t>
        </is>
      </c>
    </row>
    <row r="51" ht="28" customHeight="1">
      <c r="A51" s="5" t="n">
        <v>50</v>
      </c>
      <c r="B51" s="6" t="inlineStr">
        <is>
          <t>Reasoning</t>
        </is>
      </c>
      <c r="C51" s="7" t="inlineStr">
        <is>
          <t>Directional stimulus</t>
        </is>
      </c>
      <c r="D51" s="6" t="inlineStr">
        <is>
          <t>A small model emits hints to steer a black-box LLM.</t>
        </is>
      </c>
      <c r="E51" s="22" t="inlineStr">
        <is>
          <t>Advanced</t>
        </is>
      </c>
      <c r="F51" s="23" t="inlineStr">
        <is>
          <t>Module 15 — Advanced Reasoning (read-only)</t>
        </is>
      </c>
      <c r="G51" s="22" t="inlineStr">
        <is>
          <t>Reference</t>
        </is>
      </c>
      <c r="H51" s="22" t="inlineStr">
        <is>
          <t>Built</t>
        </is>
      </c>
    </row>
    <row r="52" ht="28" customHeight="1">
      <c r="A52" s="2" t="n">
        <v>51</v>
      </c>
      <c r="B52" s="3" t="inlineStr">
        <is>
          <t>Reasoning</t>
        </is>
      </c>
      <c r="C52" s="4" t="inlineStr">
        <is>
          <t>Emotion prompting</t>
        </is>
      </c>
      <c r="D52" s="3" t="inlineStr">
        <is>
          <t>Append emotional phrases ('this is important to me').</t>
        </is>
      </c>
      <c r="E52" s="22" t="inlineStr">
        <is>
          <t>Advanced</t>
        </is>
      </c>
      <c r="F52" s="23" t="inlineStr">
        <is>
          <t>Module 15 — Advanced Reasoning (read-only)</t>
        </is>
      </c>
      <c r="G52" s="22" t="inlineStr">
        <is>
          <t>Reference</t>
        </is>
      </c>
      <c r="H52" s="22" t="inlineStr">
        <is>
          <t>Built</t>
        </is>
      </c>
    </row>
    <row r="53" ht="28" customHeight="1">
      <c r="A53" s="5" t="n">
        <v>52</v>
      </c>
      <c r="B53" s="6" t="inlineStr">
        <is>
          <t>Self-Improve &amp; Verify</t>
        </is>
      </c>
      <c r="C53" s="7" t="inlineStr">
        <is>
          <t>Self-refine / reflexion</t>
        </is>
      </c>
      <c r="D53" s="6" t="inlineStr">
        <is>
          <t>Have Claude critique its own draft, then revise.</t>
        </is>
      </c>
      <c r="E53" s="22" t="inlineStr">
        <is>
          <t>Intermediate</t>
        </is>
      </c>
      <c r="F53" s="23" t="inlineStr">
        <is>
          <t>Module 11 — Verification &amp; Self-Correction</t>
        </is>
      </c>
      <c r="G53" s="22" t="inlineStr">
        <is>
          <t>Core</t>
        </is>
      </c>
      <c r="H53" s="22" t="inlineStr">
        <is>
          <t>Built</t>
        </is>
      </c>
    </row>
    <row r="54" ht="28" customHeight="1">
      <c r="A54" s="2" t="n">
        <v>53</v>
      </c>
      <c r="B54" s="3" t="inlineStr">
        <is>
          <t>Self-Improve &amp; Verify</t>
        </is>
      </c>
      <c r="C54" s="4" t="inlineStr">
        <is>
          <t>Chain-of-verification (CoVe)</t>
        </is>
      </c>
      <c r="D54" s="3" t="inlineStr">
        <is>
          <t>Draft → generate check-questions → answer them → revise.</t>
        </is>
      </c>
      <c r="E54" s="22" t="inlineStr">
        <is>
          <t>Intermediate</t>
        </is>
      </c>
      <c r="F54" s="23" t="inlineStr">
        <is>
          <t>Module 11 — Verification &amp; Self-Correction</t>
        </is>
      </c>
      <c r="G54" s="22" t="inlineStr">
        <is>
          <t>Core</t>
        </is>
      </c>
      <c r="H54" s="22" t="inlineStr">
        <is>
          <t>Built</t>
        </is>
      </c>
    </row>
    <row r="55" ht="28" customHeight="1">
      <c r="A55" s="5" t="n">
        <v>54</v>
      </c>
      <c r="B55" s="6" t="inlineStr">
        <is>
          <t>Self-Improve &amp; Verify</t>
        </is>
      </c>
      <c r="C55" s="7" t="inlineStr">
        <is>
          <t>Rubric-as-instruction</t>
        </is>
      </c>
      <c r="D55" s="6" t="inlineStr">
        <is>
          <t>Put grading criteria in the prompt; self-check before finalizing.</t>
        </is>
      </c>
      <c r="E55" s="22" t="inlineStr">
        <is>
          <t>Intermediate</t>
        </is>
      </c>
      <c r="F55" s="23" t="inlineStr">
        <is>
          <t>Module 11 — Verification &amp; Self-Correction</t>
        </is>
      </c>
      <c r="G55" s="22" t="inlineStr">
        <is>
          <t>Core</t>
        </is>
      </c>
      <c r="H55" s="22" t="inlineStr">
        <is>
          <t>Built</t>
        </is>
      </c>
    </row>
    <row r="56" ht="28" customHeight="1">
      <c r="A56" s="2" t="n">
        <v>55</v>
      </c>
      <c r="B56" s="3" t="inlineStr">
        <is>
          <t>Self-Improve &amp; Verify</t>
        </is>
      </c>
      <c r="C56" s="4" t="inlineStr">
        <is>
          <t>Confidence calibration</t>
        </is>
      </c>
      <c r="D56" s="3" t="inlineStr">
        <is>
          <t>Ask Claude to flag low-confidence claims.</t>
        </is>
      </c>
      <c r="E56" s="22" t="inlineStr">
        <is>
          <t>Intermediate</t>
        </is>
      </c>
      <c r="F56" s="23" t="inlineStr">
        <is>
          <t>Module 11 — Verification &amp; Self-Correction</t>
        </is>
      </c>
      <c r="G56" s="22" t="inlineStr">
        <is>
          <t>Core</t>
        </is>
      </c>
      <c r="H56" s="22" t="inlineStr">
        <is>
          <t>Built</t>
        </is>
      </c>
    </row>
    <row r="57" ht="28" customHeight="1">
      <c r="A57" s="5" t="n">
        <v>56</v>
      </c>
      <c r="B57" s="6" t="inlineStr">
        <is>
          <t>Self-Improve &amp; Verify</t>
        </is>
      </c>
      <c r="C57" s="7" t="inlineStr">
        <is>
          <t>Best-of-N verification</t>
        </is>
      </c>
      <c r="D57" s="6" t="inlineStr">
        <is>
          <t>Generate several answers, pick/verify the most consistent.</t>
        </is>
      </c>
      <c r="E57" s="22" t="inlineStr">
        <is>
          <t>Intermediate</t>
        </is>
      </c>
      <c r="F57" s="23" t="inlineStr">
        <is>
          <t>Module 11 — Verification &amp; Self-Correction</t>
        </is>
      </c>
      <c r="G57" s="22" t="inlineStr">
        <is>
          <t>Appendix</t>
        </is>
      </c>
      <c r="H57" s="22" t="inlineStr">
        <is>
          <t>Built</t>
        </is>
      </c>
    </row>
    <row r="58" ht="28" customHeight="1">
      <c r="A58" s="2" t="n">
        <v>57</v>
      </c>
      <c r="B58" s="3" t="inlineStr">
        <is>
          <t>Composition &amp; Reuse</t>
        </is>
      </c>
      <c r="C58" s="4" t="inlineStr">
        <is>
          <t>Prompt chaining</t>
        </is>
      </c>
      <c r="D58" s="3" t="inlineStr">
        <is>
          <t>Split a complex task into linked prompts with review points.</t>
        </is>
      </c>
      <c r="E58" s="22" t="inlineStr">
        <is>
          <t>Advanced</t>
        </is>
      </c>
      <c r="F58" s="23" t="inlineStr">
        <is>
          <t>Module 12 — Prompt Composition &amp; Reuse</t>
        </is>
      </c>
      <c r="G58" s="22" t="inlineStr">
        <is>
          <t>Core</t>
        </is>
      </c>
      <c r="H58" s="22" t="inlineStr">
        <is>
          <t>Built</t>
        </is>
      </c>
    </row>
    <row r="59" ht="28" customHeight="1">
      <c r="A59" s="5" t="n">
        <v>58</v>
      </c>
      <c r="B59" s="6" t="inlineStr">
        <is>
          <t>Composition &amp; Reuse</t>
        </is>
      </c>
      <c r="C59" s="7" t="inlineStr">
        <is>
          <t>Templates &amp; variables</t>
        </is>
      </c>
      <c r="D59" s="6" t="inlineStr">
        <is>
          <t>Save prompts with {{variable}} placeholders for reuse.</t>
        </is>
      </c>
      <c r="E59" s="22" t="inlineStr">
        <is>
          <t>Advanced</t>
        </is>
      </c>
      <c r="F59" s="23" t="inlineStr">
        <is>
          <t>Module 12 — Prompt Composition &amp; Reuse</t>
        </is>
      </c>
      <c r="G59" s="22" t="inlineStr">
        <is>
          <t>Core</t>
        </is>
      </c>
      <c r="H59" s="22" t="inlineStr">
        <is>
          <t>Built</t>
        </is>
      </c>
    </row>
    <row r="60" ht="28" customHeight="1">
      <c r="A60" s="2" t="n">
        <v>59</v>
      </c>
      <c r="B60" s="3" t="inlineStr">
        <is>
          <t>Composition &amp; Reuse</t>
        </is>
      </c>
      <c r="C60" s="4" t="inlineStr">
        <is>
          <t>Meta-prompting / APE</t>
        </is>
      </c>
      <c r="D60" s="3" t="inlineStr">
        <is>
          <t>Use Claude to write or improve your prompt.</t>
        </is>
      </c>
      <c r="E60" s="22" t="inlineStr">
        <is>
          <t>Advanced</t>
        </is>
      </c>
      <c r="F60" s="23" t="inlineStr">
        <is>
          <t>Module 13 — Meta-Prompting &amp; Optimization</t>
        </is>
      </c>
      <c r="G60" s="22" t="inlineStr">
        <is>
          <t>Core</t>
        </is>
      </c>
      <c r="H60" s="22" t="inlineStr">
        <is>
          <t>Built</t>
        </is>
      </c>
    </row>
    <row r="61" ht="28" customHeight="1">
      <c r="A61" s="5" t="n">
        <v>60</v>
      </c>
      <c r="B61" s="6" t="inlineStr">
        <is>
          <t>Composition &amp; Reuse</t>
        </is>
      </c>
      <c r="C61" s="7" t="inlineStr">
        <is>
          <t>Prompt generator (Console)</t>
        </is>
      </c>
      <c r="D61" s="6" t="inlineStr">
        <is>
          <t>Generate a first-draft prompt template for a task.</t>
        </is>
      </c>
      <c r="E61" s="22" t="inlineStr">
        <is>
          <t>Advanced</t>
        </is>
      </c>
      <c r="F61" s="23" t="inlineStr">
        <is>
          <t>Module 13 — Meta-Prompting &amp; Optimization</t>
        </is>
      </c>
      <c r="G61" s="22" t="inlineStr">
        <is>
          <t>Appendix</t>
        </is>
      </c>
      <c r="H61" s="22" t="inlineStr">
        <is>
          <t>Built</t>
        </is>
      </c>
    </row>
    <row r="62" ht="28" customHeight="1">
      <c r="A62" s="2" t="n">
        <v>61</v>
      </c>
      <c r="B62" s="3" t="inlineStr">
        <is>
          <t>Composition &amp; Reuse</t>
        </is>
      </c>
      <c r="C62" s="4" t="inlineStr">
        <is>
          <t>Prompt improver (Console)</t>
        </is>
      </c>
      <c r="D62" s="3" t="inlineStr">
        <is>
          <t>Auto-refine a prompt (adds CoT, XML, examples).</t>
        </is>
      </c>
      <c r="E62" s="22" t="inlineStr">
        <is>
          <t>Advanced</t>
        </is>
      </c>
      <c r="F62" s="23" t="inlineStr">
        <is>
          <t>Module 13 — Meta-Prompting &amp; Optimization</t>
        </is>
      </c>
      <c r="G62" s="22" t="inlineStr">
        <is>
          <t>Core</t>
        </is>
      </c>
      <c r="H62" s="22" t="inlineStr">
        <is>
          <t>Built</t>
        </is>
      </c>
    </row>
    <row r="63" ht="28" customHeight="1">
      <c r="A63" s="5" t="n">
        <v>62</v>
      </c>
      <c r="B63" s="6" t="inlineStr">
        <is>
          <t>Composition &amp; Reuse</t>
        </is>
      </c>
      <c r="C63" s="7" t="inlineStr">
        <is>
          <t>Prompt debugging</t>
        </is>
      </c>
      <c r="D63" s="6" t="inlineStr">
        <is>
          <t>Diagnose which prompt component failed, fix that part.</t>
        </is>
      </c>
      <c r="E63" s="22" t="inlineStr">
        <is>
          <t>Advanced</t>
        </is>
      </c>
      <c r="F63" s="23" t="inlineStr">
        <is>
          <t>Module 13 — Meta-Prompting &amp; Optimization</t>
        </is>
      </c>
      <c r="G63" s="22" t="inlineStr">
        <is>
          <t>Core</t>
        </is>
      </c>
      <c r="H63" s="22" t="inlineStr">
        <is>
          <t>Built</t>
        </is>
      </c>
    </row>
    <row r="64" ht="28" customHeight="1">
      <c r="A64" s="2" t="n">
        <v>63</v>
      </c>
      <c r="B64" s="3" t="inlineStr">
        <is>
          <t>Composition &amp; Reuse</t>
        </is>
      </c>
      <c r="C64" s="4" t="inlineStr">
        <is>
          <t>Model-specific prompting</t>
        </is>
      </c>
      <c r="D64" s="3" t="inlineStr">
        <is>
          <t>Tune for the specific model (Opus 4.8 / Sonnet 4.6 / Fable 5) + Effort.</t>
        </is>
      </c>
      <c r="E64" s="22" t="inlineStr">
        <is>
          <t>Advanced</t>
        </is>
      </c>
      <c r="F64" s="23" t="inlineStr">
        <is>
          <t>Module 13 — Meta-Prompting &amp; Optimization</t>
        </is>
      </c>
      <c r="G64" s="22" t="inlineStr">
        <is>
          <t>Core</t>
        </is>
      </c>
      <c r="H64" s="22" t="inlineStr">
        <is>
          <t>Built</t>
        </is>
      </c>
    </row>
    <row r="65" ht="28" customHeight="1">
      <c r="A65" s="5" t="n">
        <v>64</v>
      </c>
      <c r="B65" s="6" t="inlineStr">
        <is>
          <t>Reliability &amp; Safety</t>
        </is>
      </c>
      <c r="C65" s="7" t="inlineStr">
        <is>
          <t>Reduce hallucinations (umbrella)</t>
        </is>
      </c>
      <c r="D65" s="6" t="inlineStr">
        <is>
          <t>Grounding, give-an-out, citations, verification to cut fabrication.</t>
        </is>
      </c>
      <c r="E65" s="22" t="inlineStr">
        <is>
          <t>Advanced</t>
        </is>
      </c>
      <c r="F65" s="23" t="inlineStr">
        <is>
          <t>Module 14 — Reliability, Safety &amp; Anti-Patterns</t>
        </is>
      </c>
      <c r="G65" s="22" t="inlineStr">
        <is>
          <t>Core</t>
        </is>
      </c>
      <c r="H65" s="22" t="inlineStr">
        <is>
          <t>Built</t>
        </is>
      </c>
    </row>
    <row r="66" ht="28" customHeight="1">
      <c r="A66" s="2" t="n">
        <v>65</v>
      </c>
      <c r="B66" s="3" t="inlineStr">
        <is>
          <t>Reliability &amp; Safety</t>
        </is>
      </c>
      <c r="C66" s="4" t="inlineStr">
        <is>
          <t>Increase output consistency</t>
        </is>
      </c>
      <c r="D66" s="3" t="inlineStr">
        <is>
          <t>Format specs, examples, structured output for repeatable results.</t>
        </is>
      </c>
      <c r="E66" s="22" t="inlineStr">
        <is>
          <t>Intermediate</t>
        </is>
      </c>
      <c r="F66" s="23" t="inlineStr">
        <is>
          <t>Module 11 — Verification &amp; Self-Correction</t>
        </is>
      </c>
      <c r="G66" s="22" t="inlineStr">
        <is>
          <t>Appendix</t>
        </is>
      </c>
      <c r="H66" s="22" t="inlineStr">
        <is>
          <t>Built</t>
        </is>
      </c>
    </row>
    <row r="67" ht="28" customHeight="1">
      <c r="A67" s="5" t="n">
        <v>66</v>
      </c>
      <c r="B67" s="6" t="inlineStr">
        <is>
          <t>Reliability &amp; Safety</t>
        </is>
      </c>
      <c r="C67" s="7" t="inlineStr">
        <is>
          <t>Mitigate jailbreaks / injection</t>
        </is>
      </c>
      <c r="D67" s="6" t="inlineStr">
        <is>
          <t>Screens, input validation, layered safeguards.</t>
        </is>
      </c>
      <c r="E67" s="22" t="inlineStr">
        <is>
          <t>Advanced</t>
        </is>
      </c>
      <c r="F67" s="23" t="inlineStr">
        <is>
          <t>Module 14 — Reliability, Safety &amp; Anti-Patterns</t>
        </is>
      </c>
      <c r="G67" s="22" t="inlineStr">
        <is>
          <t>Core</t>
        </is>
      </c>
      <c r="H67" s="22" t="inlineStr">
        <is>
          <t>Built</t>
        </is>
      </c>
    </row>
    <row r="68" ht="28" customHeight="1">
      <c r="A68" s="2" t="n">
        <v>67</v>
      </c>
      <c r="B68" s="3" t="inlineStr">
        <is>
          <t>Reliability &amp; Safety</t>
        </is>
      </c>
      <c r="C68" s="4" t="inlineStr">
        <is>
          <t>Reduce prompt leak</t>
        </is>
      </c>
      <c r="D68" s="3" t="inlineStr">
        <is>
          <t>Isolate system context; filter output; minimize secrets.</t>
        </is>
      </c>
      <c r="E68" s="22" t="inlineStr">
        <is>
          <t>Advanced</t>
        </is>
      </c>
      <c r="F68" s="23" t="inlineStr">
        <is>
          <t>Module 14 — Reliability, Safety &amp; Anti-Patterns</t>
        </is>
      </c>
      <c r="G68" s="22" t="inlineStr">
        <is>
          <t>Appendix</t>
        </is>
      </c>
      <c r="H68" s="22" t="inlineStr">
        <is>
          <t>Built</t>
        </is>
      </c>
    </row>
    <row r="69">
      <c r="A69" s="5" t="n">
        <v>68</v>
      </c>
      <c r="B69" s="6" t="inlineStr">
        <is>
          <t>Reliability &amp; Safety</t>
        </is>
      </c>
      <c r="C69" s="7" t="inlineStr">
        <is>
          <t>ReAct (reason + act)</t>
        </is>
      </c>
      <c r="D69" s="6" t="inlineStr">
        <is>
          <t>Interleave reasoning with tool/search actions.</t>
        </is>
      </c>
      <c r="E69" s="22" t="inlineStr">
        <is>
          <t>Advanced</t>
        </is>
      </c>
      <c r="F69" s="23" t="inlineStr">
        <is>
          <t>Module 14 — Reliability, Safety &amp; Anti-Patterns</t>
        </is>
      </c>
      <c r="G69" s="22" t="inlineStr">
        <is>
          <t>Appendix</t>
        </is>
      </c>
      <c r="H69" s="22" t="inlineStr">
        <is>
          <t>Built</t>
        </is>
      </c>
    </row>
    <row r="70" ht="28" customHeight="1">
      <c r="A70" s="2" t="n">
        <v>69</v>
      </c>
      <c r="B70" s="3" t="inlineStr">
        <is>
          <t>Reliability &amp; Safety</t>
        </is>
      </c>
      <c r="C70" s="4" t="inlineStr">
        <is>
          <t>Tool-use prompting</t>
        </is>
      </c>
      <c r="D70" s="3" t="inlineStr">
        <is>
          <t>Describe tools/inputs/outputs so the model calls them reliably.</t>
        </is>
      </c>
      <c r="E70" s="22" t="inlineStr">
        <is>
          <t>Advanced</t>
        </is>
      </c>
      <c r="F70" s="23" t="inlineStr">
        <is>
          <t>Module 14 — Reliability, Safety &amp; Anti-Patterns</t>
        </is>
      </c>
      <c r="G70" s="22" t="inlineStr">
        <is>
          <t>Appendix</t>
        </is>
      </c>
      <c r="H70" s="22" t="inlineStr">
        <is>
          <t>Built</t>
        </is>
      </c>
    </row>
    <row r="71">
      <c r="A71" s="5" t="n">
        <v>70</v>
      </c>
      <c r="B71" s="6" t="inlineStr">
        <is>
          <t>Anti-patterns</t>
        </is>
      </c>
      <c r="C71" s="7" t="inlineStr">
        <is>
          <t>Wall of text</t>
        </is>
      </c>
      <c r="D71" s="6" t="inlineStr">
        <is>
          <t>One giant unstructured block.</t>
        </is>
      </c>
      <c r="E71" s="22" t="inlineStr">
        <is>
          <t>Advanced</t>
        </is>
      </c>
      <c r="F71" s="23" t="inlineStr">
        <is>
          <t>Module 14 — Reliability, Safety &amp; Anti-Patterns</t>
        </is>
      </c>
      <c r="G71" s="22" t="inlineStr">
        <is>
          <t>Core</t>
        </is>
      </c>
      <c r="H71" s="22" t="inlineStr">
        <is>
          <t>Built</t>
        </is>
      </c>
    </row>
    <row r="72">
      <c r="A72" s="2" t="n">
        <v>71</v>
      </c>
      <c r="B72" s="3" t="inlineStr">
        <is>
          <t>Anti-patterns</t>
        </is>
      </c>
      <c r="C72" s="4" t="inlineStr">
        <is>
          <t>Buried instruction</t>
        </is>
      </c>
      <c r="D72" s="3" t="inlineStr">
        <is>
          <t>Task hidden before/inside a long source.</t>
        </is>
      </c>
      <c r="E72" s="22" t="inlineStr">
        <is>
          <t>Advanced</t>
        </is>
      </c>
      <c r="F72" s="23" t="inlineStr">
        <is>
          <t>Module 14 — Reliability, Safety &amp; Anti-Patterns</t>
        </is>
      </c>
      <c r="G72" s="22" t="inlineStr">
        <is>
          <t>Core</t>
        </is>
      </c>
      <c r="H72" s="22" t="inlineStr">
        <is>
          <t>Built</t>
        </is>
      </c>
    </row>
    <row r="73">
      <c r="A73" s="5" t="n">
        <v>72</v>
      </c>
      <c r="B73" s="6" t="inlineStr">
        <is>
          <t>Anti-patterns</t>
        </is>
      </c>
      <c r="C73" s="7" t="inlineStr">
        <is>
          <t>Vague adjectives</t>
        </is>
      </c>
      <c r="D73" s="6" t="inlineStr">
        <is>
          <t>'Make it better/professional' with no anchor.</t>
        </is>
      </c>
      <c r="E73" s="22" t="inlineStr">
        <is>
          <t>Advanced</t>
        </is>
      </c>
      <c r="F73" s="23" t="inlineStr">
        <is>
          <t>Module 14 — Reliability, Safety &amp; Anti-Patterns</t>
        </is>
      </c>
      <c r="G73" s="22" t="inlineStr">
        <is>
          <t>Core</t>
        </is>
      </c>
      <c r="H73" s="22" t="inlineStr">
        <is>
          <t>Built</t>
        </is>
      </c>
    </row>
    <row r="74">
      <c r="A74" s="2" t="n">
        <v>73</v>
      </c>
      <c r="B74" s="3" t="inlineStr">
        <is>
          <t>Anti-patterns</t>
        </is>
      </c>
      <c r="C74" s="4" t="inlineStr">
        <is>
          <t>Mixing data &amp; instructions</t>
        </is>
      </c>
      <c r="D74" s="3" t="inlineStr">
        <is>
          <t>Source text and commands run together.</t>
        </is>
      </c>
      <c r="E74" s="22" t="inlineStr">
        <is>
          <t>Advanced</t>
        </is>
      </c>
      <c r="F74" s="23" t="inlineStr">
        <is>
          <t>Module 14 — Reliability, Safety &amp; Anti-Patterns</t>
        </is>
      </c>
      <c r="G74" s="22" t="inlineStr">
        <is>
          <t>Core</t>
        </is>
      </c>
      <c r="H74" s="22" t="inlineStr">
        <is>
          <t>Built</t>
        </is>
      </c>
    </row>
    <row r="75">
      <c r="A75" s="5" t="n">
        <v>74</v>
      </c>
      <c r="B75" s="6" t="inlineStr">
        <is>
          <t>Anti-patterns</t>
        </is>
      </c>
      <c r="C75" s="7" t="inlineStr">
        <is>
          <t>Too many unrelated asks</t>
        </is>
      </c>
      <c r="D75" s="6" t="inlineStr">
        <is>
          <t>Cramming several outputs into one prompt.</t>
        </is>
      </c>
      <c r="E75" s="22" t="inlineStr">
        <is>
          <t>Advanced</t>
        </is>
      </c>
      <c r="F75" s="23" t="inlineStr">
        <is>
          <t>Module 14 — Reliability, Safety &amp; Anti-Patterns</t>
        </is>
      </c>
      <c r="G75" s="22" t="inlineStr">
        <is>
          <t>Core</t>
        </is>
      </c>
      <c r="H75" s="22" t="inlineStr">
        <is>
          <t>Built</t>
        </is>
      </c>
    </row>
    <row r="76" ht="28" customHeight="1">
      <c r="A76" s="2" t="n">
        <v>75</v>
      </c>
      <c r="B76" s="3" t="inlineStr">
        <is>
          <t>Anti-patterns</t>
        </is>
      </c>
      <c r="C76" s="4" t="inlineStr">
        <is>
          <t>Misleading examples</t>
        </is>
      </c>
      <c r="D76" s="3" t="inlineStr">
        <is>
          <t>Examples that accidentally teach the wrong format.</t>
        </is>
      </c>
      <c r="E76" s="22" t="inlineStr">
        <is>
          <t>Advanced</t>
        </is>
      </c>
      <c r="F76" s="23" t="inlineStr">
        <is>
          <t>Module 14 — Reliability, Safety &amp; Anti-Patterns</t>
        </is>
      </c>
      <c r="G76" s="22" t="inlineStr">
        <is>
          <t>Core</t>
        </is>
      </c>
      <c r="H76" s="22" t="inlineStr">
        <is>
          <t>Built</t>
        </is>
      </c>
    </row>
  </sheetData>
  <autoFilter ref="A1:H76"/>
  <conditionalFormatting sqref="H2:H76">
    <cfRule type="cellIs" priority="1" operator="equal" dxfId="1">
      <formula>"Built"</formula>
    </cfRule>
    <cfRule type="cellIs" priority="2" operator="equal" dxfId="0">
      <formula>"Not built"</formula>
    </cfRule>
  </conditionalFormatting>
  <dataValidations count="1">
    <dataValidation sqref="H2:H76" showDropDown="0" showInputMessage="0" showErrorMessage="0" allowBlank="1" type="list">
      <formula1>"Built,Not built"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2026-06-26T20:38:14Z</dcterms:created>
  <dcterms:modified xmlns:dcterms="http://purl.org/dc/terms/" xmlns:xsi="http://www.w3.org/2001/XMLSchema-instance" xsi:type="dcterms:W3CDTF">2026-07-05T17:46:13Z</dcterms:modified>
  <cp:lastModifiedBy>Sudeep Maity</cp:lastModifiedBy>
  <cp:revision>0</cp:revision>
</cp:coreProperties>
</file>