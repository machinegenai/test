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raining Plan" sheetId="2" state="visible" r:id="rId4"/>
    <sheet name="Topic Tracker" sheetId="3" state="visible" r:id="rId5"/>
    <sheet name="Curriculum &amp; Exercises" sheetId="4" state="visible" r:id="rId6"/>
    <sheet name="Self-Assessment Rubric" sheetId="5" state="visible" r:id="rId7"/>
    <sheet name="Sources" sheetId="6" state="visible" r:id="rId8"/>
    <sheet name="Change Log" sheetId="7" state="visible" r:id="rId9"/>
  </sheets>
  <definedNames>
    <definedName function="false" hidden="true" localSheetId="3" name="_xlnm._FilterDatabase" vbProcedure="false">'Curriculum &amp; Exercises'!$A$1:$E$37</definedName>
    <definedName function="false" hidden="true" localSheetId="4" name="_xlnm._FilterDatabase" vbProcedure="false">'Self-Assessment Rubric'!$A$1:$D$27</definedName>
    <definedName function="false" hidden="true" localSheetId="2" name="_xlnm._FilterDatabase" vbProcedure="false">'Topic Tracker'!$A$1:$I$109</definedName>
    <definedName function="false" hidden="true" localSheetId="1" name="_xlnm._FilterDatabase" vbProcedure="false">'Training Plan'!$A$1:$I$65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<sst xmlns="http://schemas.openxmlformats.org/spreadsheetml/2006/main" count="1165" uniqueCount="593">
  <si>
    <t xml:space="preserve">Claude Mastery — Topic Tracker</t>
  </si>
  <si>
    <t xml:space="preserve">Every topic from the Claude Mastery Operating System, in one place to learn and track.</t>
  </si>
  <si>
    <t xml:space="preserve">How to use</t>
  </si>
  <si>
    <t xml:space="preserve">Work one module at a time. For each: learn it (verified vs. docs), do a real BJ's exercise, get critiqued, build the 1-hour PPT, then quiz. Update Self-score + Status as you go.</t>
  </si>
  <si>
    <t xml:space="preserve">Training Plan</t>
  </si>
  <si>
    <t xml:space="preserve">All 108 topics grouped into one-hour training modules. Build one PPT per module — depth over compression. This is the master build list. (The prompt-engineering track is now 3 modules: M02, M03, M03b.)</t>
  </si>
  <si>
    <t xml:space="preserve">Companion: Pattern Library</t>
  </si>
  <si>
    <t xml:space="preserve">Prompt_Pattern_Library.xlsx (separate workbook) is the verified 75-pattern catalog behind the M02/M03/M03b prompt-engineering track — each pattern tiered, sourced, and mapped to a module.</t>
  </si>
  <si>
    <t xml:space="preserve">Topic Tracker</t>
  </si>
  <si>
    <t xml:space="preserve">Every capability from the ecosystem map (Parts 2.1-2.8), each tagged with its Module. Filter by Level, Area, or Module. Set Self-score 1-4 and Status per row.</t>
  </si>
  <si>
    <t xml:space="preserve">Curriculum &amp; Exercises</t>
  </si>
  <si>
    <t xml:space="preserve">Levels 1-5: what to learn, the hands-on exercises, and the mastery check that says you're done.</t>
  </si>
  <si>
    <t xml:space="preserve">Self-Assessment Rubric</t>
  </si>
  <si>
    <t xml:space="preserve">Score 1-4 per capability for a quick progress snapshot. Aim for mostly 3s and 4s.</t>
  </si>
  <si>
    <t xml:space="preserve">Sources</t>
  </si>
  <si>
    <t xml:space="preserve">Where to verify every feature, price, and limit — because the product changes fast.</t>
  </si>
  <si>
    <t xml:space="preserve">Scoring scale</t>
  </si>
  <si>
    <t xml:space="preserve">1 = new to it · 2 = can do it with help · 3 = fluent &amp; independent · 4 = can teach it &amp; handle edge cases.</t>
  </si>
  <si>
    <t xml:space="preserve">Topics tracked:</t>
  </si>
  <si>
    <t xml:space="preserve">Training modules:</t>
  </si>
  <si>
    <t xml:space="preserve">PPTs built:</t>
  </si>
  <si>
    <t xml:space="preserve">Topics 'Mastered':</t>
  </si>
  <si>
    <t xml:space="preserve">Order</t>
  </si>
  <si>
    <t xml:space="preserve">Module</t>
  </si>
  <si>
    <t xml:space="preserve">Track</t>
  </si>
  <si>
    <t xml:space="preserve">Module title (≈ 1-hour PPT)</t>
  </si>
  <si>
    <t xml:space="preserve">Topics covered</t>
  </si>
  <si>
    <t xml:space="preserve"># Topics</t>
  </si>
  <si>
    <t xml:space="preserve">Duration</t>
  </si>
  <si>
    <t xml:space="preserve">PPT status</t>
  </si>
  <si>
    <t xml:space="preserve">Notes</t>
  </si>
  <si>
    <t xml:space="preserve">M01</t>
  </si>
  <si>
    <t xml:space="preserve">L1 Foundations</t>
  </si>
  <si>
    <t xml:space="preserve">Core Chat</t>
  </si>
  <si>
    <t xml:space="preserve">Core chat</t>
  </si>
  <si>
    <t xml:space="preserve">~1 hr</t>
  </si>
  <si>
    <t xml:space="preserve">Built</t>
  </si>
  <si>
    <t xml:space="preserve">Core_Chat_with_Claude_Training.pptx</t>
  </si>
  <si>
    <t xml:space="preserve">M02</t>
  </si>
  <si>
    <t xml:space="preserve">Prompt Engineering I — Structure &amp; Patterns (clarity, role, XML, examples, long-input)</t>
  </si>
  <si>
    <t xml:space="preserve">Prompt engineering</t>
  </si>
  <si>
    <t xml:space="preserve">Prompt_Engineering_1_Training_v2.pptx</t>
  </si>
  <si>
    <t xml:space="preserve">M03</t>
  </si>
  <si>
    <t xml:space="preserve">Prompt Engineering II — Reasoning &amp; Self-Improvement (CoT, self-consistency, reflexion, CoVe)</t>
  </si>
  <si>
    <t xml:space="preserve">Prompt_Engineering_2_Training.pptx</t>
  </si>
  <si>
    <t xml:space="preserve">M03b</t>
  </si>
  <si>
    <t xml:space="preserve">Prompt Engineering III — Control, Reuse &amp; Tools (chaining, templates, Console tools, model-specific)</t>
  </si>
  <si>
    <t xml:space="preserve">Prompt_Engineering_3_Training.pptx</t>
  </si>
  <si>
    <t xml:space="preserve">M04</t>
  </si>
  <si>
    <t xml:space="preserve">Models &amp; Reasoning — picking the engine</t>
  </si>
  <si>
    <t xml:space="preserve">Haiku 4.5 · Sonnet 4.6 · Opus 4.8 · Mythos-class (Mythos 5 / Fable 5) · Reasoning controls · Modality boundary · Customizing Claude · Model lifecycle</t>
  </si>
  <si>
    <t xml:space="preserve">M05</t>
  </si>
  <si>
    <t xml:space="preserve">Verify, Iterate &amp; Branch the conversation</t>
  </si>
  <si>
    <t xml:space="preserve">Conversation branching</t>
  </si>
  <si>
    <t xml:space="preserve">M06</t>
  </si>
  <si>
    <t xml:space="preserve">L2 Power User</t>
  </si>
  <si>
    <t xml:space="preserve">Projects</t>
  </si>
  <si>
    <t xml:space="preserve">M07</t>
  </si>
  <si>
    <t xml:space="preserve">Artifacts &amp; Inline Visualizations</t>
  </si>
  <si>
    <t xml:space="preserve">Artifacts · Inline visualizations</t>
  </si>
  <si>
    <t xml:space="preserve">M08</t>
  </si>
  <si>
    <t xml:space="preserve">Memory — how it works &amp; managing it</t>
  </si>
  <si>
    <t xml:space="preserve">Memory · Memory management</t>
  </si>
  <si>
    <t xml:space="preserve">M09</t>
  </si>
  <si>
    <t xml:space="preserve">Styles &amp; the Personalization Stack</t>
  </si>
  <si>
    <t xml:space="preserve">Styles · Personalization stack (3 layers)</t>
  </si>
  <si>
    <t xml:space="preserve">M10</t>
  </si>
  <si>
    <t xml:space="preserve">Web Search, Research &amp; Citations</t>
  </si>
  <si>
    <t xml:space="preserve">Web search &amp; Research · Citations &amp; languages</t>
  </si>
  <si>
    <t xml:space="preserve">M11</t>
  </si>
  <si>
    <t xml:space="preserve">Vision, Files &amp; PDF</t>
  </si>
  <si>
    <t xml:space="preserve">Vision · Files &amp; PDF</t>
  </si>
  <si>
    <t xml:space="preserve">M12</t>
  </si>
  <si>
    <t xml:space="preserve">Analysis &amp; Code Execution</t>
  </si>
  <si>
    <t xml:space="preserve">Analysis tool / code execution &amp; file creation</t>
  </si>
  <si>
    <t xml:space="preserve">M13</t>
  </si>
  <si>
    <t xml:space="preserve">Connectors &amp; Enterprise Search</t>
  </si>
  <si>
    <t xml:space="preserve">Connectors / MCP in chat · Enterprise Search</t>
  </si>
  <si>
    <t xml:space="preserve">M14</t>
  </si>
  <si>
    <t xml:space="preserve">Voice — Input &amp; Voice Mode</t>
  </si>
  <si>
    <t xml:space="preserve">Voice input · Voice Mode (two-way)</t>
  </si>
  <si>
    <t xml:space="preserve">M15</t>
  </si>
  <si>
    <t xml:space="preserve">Managing Conversations — History &amp; Sharing</t>
  </si>
  <si>
    <t xml:space="preserve">Search &amp; reference past chats · Shared chat links · Chat management</t>
  </si>
  <si>
    <t xml:space="preserve">M16</t>
  </si>
  <si>
    <t xml:space="preserve">Setup, Capabilities &amp; Accessibility</t>
  </si>
  <si>
    <t xml:space="preserve">Capabilities toggles · Long-context toggle · Accessibility &amp; appearance · The AI Migrator</t>
  </si>
  <si>
    <t xml:space="preserve">M17</t>
  </si>
  <si>
    <t xml:space="preserve">Privacy, Data Controls &amp; Incognito</t>
  </si>
  <si>
    <t xml:space="preserve">Privacy &amp; data controls · Incognito mode</t>
  </si>
  <si>
    <t xml:space="preserve">M18</t>
  </si>
  <si>
    <t xml:space="preserve">L3 Workflow</t>
  </si>
  <si>
    <t xml:space="preserve">Skills I — what they are &amp; using them</t>
  </si>
  <si>
    <t xml:space="preserve">Skills</t>
  </si>
  <si>
    <t xml:space="preserve">M19</t>
  </si>
  <si>
    <t xml:space="preserve">Skills II — authoring &amp; org provisioning</t>
  </si>
  <si>
    <t xml:space="preserve">M20</t>
  </si>
  <si>
    <t xml:space="preserve">Cowork Foundations</t>
  </si>
  <si>
    <t xml:space="preserve">Cowork overview · Folder/file access</t>
  </si>
  <si>
    <t xml:space="preserve">M21</t>
  </si>
  <si>
    <t xml:space="preserve">Cowork — Sub-agents, Plugins &amp; Tools</t>
  </si>
  <si>
    <t xml:space="preserve">Sub-agents (Cowork) · Plugins (Cowork) · Projects in Cowork · Tools in Cowork</t>
  </si>
  <si>
    <t xml:space="preserve">M22</t>
  </si>
  <si>
    <t xml:space="preserve">Cowork — Computer Use &amp; Dispatch</t>
  </si>
  <si>
    <t xml:space="preserve">Computer use in Cowork / Dispatch</t>
  </si>
  <si>
    <t xml:space="preserve">M23</t>
  </si>
  <si>
    <t xml:space="preserve">Cowork Automation — Scheduled Tasks &amp; Live Artifacts</t>
  </si>
  <si>
    <t xml:space="preserve">Scheduled tasks · Live artifacts</t>
  </si>
  <si>
    <t xml:space="preserve">M24</t>
  </si>
  <si>
    <t xml:space="preserve">Claude in Chrome</t>
  </si>
  <si>
    <t xml:space="preserve">M25</t>
  </si>
  <si>
    <t xml:space="preserve">Claude in Excel</t>
  </si>
  <si>
    <t xml:space="preserve">M26</t>
  </si>
  <si>
    <t xml:space="preserve">Claude in PowerPoint</t>
  </si>
  <si>
    <t xml:space="preserve">M27</t>
  </si>
  <si>
    <t xml:space="preserve">Claude Design</t>
  </si>
  <si>
    <t xml:space="preserve">M28</t>
  </si>
  <si>
    <t xml:space="preserve">Claude on Mobile &amp; Claude Tag (Slack)</t>
  </si>
  <si>
    <t xml:space="preserve">Claude on mobile · Claude Tag (@Claude in Slack)</t>
  </si>
  <si>
    <t xml:space="preserve">M29</t>
  </si>
  <si>
    <t xml:space="preserve">L4 Dev/Agentic</t>
  </si>
  <si>
    <t xml:space="preserve">Claude Code — Orientation &amp; Agentic Coding</t>
  </si>
  <si>
    <t xml:space="preserve">Surfaces · Agentic coding</t>
  </si>
  <si>
    <t xml:space="preserve">M30</t>
  </si>
  <si>
    <t xml:space="preserve">Claude Code — Memory, Sessions &amp; CLAUDE.md</t>
  </si>
  <si>
    <t xml:space="preserve">Auto memory &amp; session management · CLAUDE.md</t>
  </si>
  <si>
    <t xml:space="preserve">M31</t>
  </si>
  <si>
    <t xml:space="preserve">Claude Code — Commands, Modes &amp; Config</t>
  </si>
  <si>
    <t xml:space="preserve">Commands &amp; loop controls · Plan mode &amp; output styles · Permissions &amp; settings.json</t>
  </si>
  <si>
    <t xml:space="preserve">M32</t>
  </si>
  <si>
    <t xml:space="preserve">Claude Code — Multi-Agent &amp; Background Agents</t>
  </si>
  <si>
    <t xml:space="preserve">Subagents &amp; multi-agent orchestration (Agent Teams) · Background agents</t>
  </si>
  <si>
    <t xml:space="preserve">M33</t>
  </si>
  <si>
    <t xml:space="preserve">Claude Code — Plugins, MCP, Skills &amp; Sandbox</t>
  </si>
  <si>
    <t xml:space="preserve">Plugins, MCP, Skills, computer use · Managed settings, permissions, OS sandbox</t>
  </si>
  <si>
    <t xml:space="preserve">M34</t>
  </si>
  <si>
    <t xml:space="preserve">Claude Code — Checkpoints, CI &amp; Usage</t>
  </si>
  <si>
    <t xml:space="preserve">Checkpoints / rewind &amp; CI · Publishing &amp; usage</t>
  </si>
  <si>
    <t xml:space="preserve">M35</t>
  </si>
  <si>
    <t xml:space="preserve">API Orientation — Messages, Streaming &amp; SDKs</t>
  </si>
  <si>
    <t xml:space="preserve">Messages API &amp; basics · SDKs &amp; learning resources</t>
  </si>
  <si>
    <t xml:space="preserve">M36</t>
  </si>
  <si>
    <t xml:space="preserve">Tool Use &amp; Built-in Tools</t>
  </si>
  <si>
    <t xml:space="preserve">Tool use / function calling</t>
  </si>
  <si>
    <t xml:space="preserve">M37</t>
  </si>
  <si>
    <t xml:space="preserve">Tools at Scale</t>
  </si>
  <si>
    <t xml:space="preserve">Tool infrastructure at scale</t>
  </si>
  <si>
    <t xml:space="preserve">M38</t>
  </si>
  <si>
    <t xml:space="preserve">Thinking, Vision, Files &amp; Citations (API)</t>
  </si>
  <si>
    <t xml:space="preserve">Extended thinking, vision, files, citations · Interleaved &amp; extended thinking with tools · Citations for custom RAG</t>
  </si>
  <si>
    <t xml:space="preserve">M39</t>
  </si>
  <si>
    <t xml:space="preserve">Context Management (API)</t>
  </si>
  <si>
    <t xml:space="preserve">Context management</t>
  </si>
  <si>
    <t xml:space="preserve">M40</t>
  </si>
  <si>
    <t xml:space="preserve">Caching, Batch &amp; 1M Context</t>
  </si>
  <si>
    <t xml:space="preserve">Prompt caching &amp; Batch API · 1M context window (GA)</t>
  </si>
  <si>
    <t xml:space="preserve">M41</t>
  </si>
  <si>
    <t xml:space="preserve">Skills API &amp; Platform Utility APIs</t>
  </si>
  <si>
    <t xml:space="preserve">Skills API (/v1/skills) · Platform utility APIs</t>
  </si>
  <si>
    <t xml:space="preserve">M42</t>
  </si>
  <si>
    <t xml:space="preserve">Prompt &amp; Eval Tools (Workbench)</t>
  </si>
  <si>
    <t xml:space="preserve">Prompt &amp; eval tools</t>
  </si>
  <si>
    <t xml:space="preserve">M43</t>
  </si>
  <si>
    <t xml:space="preserve">MCP I — Protocol &amp; Connectors</t>
  </si>
  <si>
    <t xml:space="preserve">Model Context Protocol (MCP) · Connector types · MCP connector in the API</t>
  </si>
  <si>
    <t xml:space="preserve">M44</t>
  </si>
  <si>
    <t xml:space="preserve">MCP II — Building Your Own Server</t>
  </si>
  <si>
    <t xml:space="preserve">Building &amp; sourcing connectors</t>
  </si>
  <si>
    <t xml:space="preserve">M45</t>
  </si>
  <si>
    <t xml:space="preserve">Agent SDK</t>
  </si>
  <si>
    <t xml:space="preserve">M46</t>
  </si>
  <si>
    <t xml:space="preserve">Managed Agents</t>
  </si>
  <si>
    <t xml:space="preserve">M47</t>
  </si>
  <si>
    <t xml:space="preserve">Deployment Options &amp; Console / Org Tooling</t>
  </si>
  <si>
    <t xml:space="preserve">Deployment options · Console &amp; org tooling</t>
  </si>
  <si>
    <t xml:space="preserve">M48</t>
  </si>
  <si>
    <t xml:space="preserve">Craft &amp; Safety</t>
  </si>
  <si>
    <t xml:space="preserve">Responsible AI I — Usage Policy &amp; Acceptable Use</t>
  </si>
  <si>
    <t xml:space="preserve">Usage Policy &amp; Acceptable Use</t>
  </si>
  <si>
    <t xml:space="preserve">M49</t>
  </si>
  <si>
    <t xml:space="preserve">Responsible AI II — Constitutional AI, RSP &amp; Classifiers</t>
  </si>
  <si>
    <t xml:space="preserve">Constitutional AI &amp; Claude's Constitution · Responsible Scaling Policy &amp; Classifiers</t>
  </si>
  <si>
    <t xml:space="preserve">M50</t>
  </si>
  <si>
    <t xml:space="preserve">Agent Design Patterns (Building Effective Agents)</t>
  </si>
  <si>
    <t xml:space="preserve">Building Effective Agents (patterns)</t>
  </si>
  <si>
    <t xml:space="preserve">M51</t>
  </si>
  <si>
    <t xml:space="preserve">Context Engineering &amp; Writing Tools for Agents</t>
  </si>
  <si>
    <t xml:space="preserve">Context engineering · Writing effective tools for agents</t>
  </si>
  <si>
    <t xml:space="preserve">M52</t>
  </si>
  <si>
    <t xml:space="preserve">Harnesses for Long-Running Agents</t>
  </si>
  <si>
    <t xml:space="preserve">Harnesses for long-running agents</t>
  </si>
  <si>
    <t xml:space="preserve">M53</t>
  </si>
  <si>
    <t xml:space="preserve">Guardrail &amp; Reliability Prompting</t>
  </si>
  <si>
    <t xml:space="preserve">Prompt guardrail techniques</t>
  </si>
  <si>
    <t xml:space="preserve">M54</t>
  </si>
  <si>
    <t xml:space="preserve">Evaluation Methodology</t>
  </si>
  <si>
    <t xml:space="preserve">Evaluation methodology</t>
  </si>
  <si>
    <t xml:space="preserve">M55</t>
  </si>
  <si>
    <t xml:space="preserve">Anthropic Academy &amp; Building Your Certification</t>
  </si>
  <si>
    <t xml:space="preserve">Anthropic Academy &amp; certification</t>
  </si>
  <si>
    <t xml:space="preserve">M56</t>
  </si>
  <si>
    <t xml:space="preserve">L5 Enterprise</t>
  </si>
  <si>
    <t xml:space="preserve">Enterprise — Identity &amp; Access</t>
  </si>
  <si>
    <t xml:space="preserve">Identity &amp; access</t>
  </si>
  <si>
    <t xml:space="preserve">M57</t>
  </si>
  <si>
    <t xml:space="preserve">Enterprise — Cost &amp; Spend Governance</t>
  </si>
  <si>
    <t xml:space="preserve">Cost &amp; spend governance</t>
  </si>
  <si>
    <t xml:space="preserve">M58</t>
  </si>
  <si>
    <t xml:space="preserve">Enterprise — Sharing &amp; Capability Controls</t>
  </si>
  <si>
    <t xml:space="preserve">Sharing &amp; collaboration controls · Capability controls (org toggles)</t>
  </si>
  <si>
    <t xml:space="preserve">M59</t>
  </si>
  <si>
    <t xml:space="preserve">Enterprise — Data Protection &amp; Compliance</t>
  </si>
  <si>
    <t xml:space="preserve">Data protection &amp; compliance</t>
  </si>
  <si>
    <t xml:space="preserve">M60</t>
  </si>
  <si>
    <t xml:space="preserve">Enterprise — Responsible AI Monitoring</t>
  </si>
  <si>
    <t xml:space="preserve">Responsible AI &amp; monitoring</t>
  </si>
  <si>
    <t xml:space="preserve">M61</t>
  </si>
  <si>
    <t xml:space="preserve">Enterprise — Usage Analytics &amp; Reporting</t>
  </si>
  <si>
    <t xml:space="preserve">Usage analytics &amp; reporting</t>
  </si>
  <si>
    <t xml:space="preserve">M62</t>
  </si>
  <si>
    <t xml:space="preserve">Plans, Procurement &amp; Deployment</t>
  </si>
  <si>
    <t xml:space="preserve">Deployment &amp; procurement · Plan awareness</t>
  </si>
  <si>
    <t xml:space="preserve">M63</t>
  </si>
  <si>
    <t xml:space="preserve">Ecosystem — Marketplaces &amp; Programs</t>
  </si>
  <si>
    <t xml:space="preserve">Plugin/skill marketplaces · Claude for Small Business · Partner Network / Services Track</t>
  </si>
  <si>
    <t xml:space="preserve">64 one-hour modules cover all 108 topics. Build one PPT per module — depth over compression. Order is a suggested path; you set the pace.</t>
  </si>
  <si>
    <t xml:space="preserve">#</t>
  </si>
  <si>
    <t xml:space="preserve">Curriculum Level</t>
  </si>
  <si>
    <t xml:space="preserve">Ecosystem Area</t>
  </si>
  <si>
    <t xml:space="preserve">Topic / Capability</t>
  </si>
  <si>
    <t xml:space="preserve">What to learn (detail)</t>
  </si>
  <si>
    <t xml:space="preserve">Self-score (1-4)</t>
  </si>
  <si>
    <t xml:space="preserve">Status</t>
  </si>
  <si>
    <t xml:space="preserve">Notes / evidence</t>
  </si>
  <si>
    <t xml:space="preserve">L1 / Cross</t>
  </si>
  <si>
    <t xml:space="preserve">Models — the engine</t>
  </si>
  <si>
    <t xml:space="preserve">Haiku 4.5</t>
  </si>
  <si>
    <t xml:space="preserve">Fastest and cheapest; high-volume, simple, latency-sensitive tasks.</t>
  </si>
  <si>
    <t xml:space="preserve">Sonnet 4.6</t>
  </si>
  <si>
    <t xml:space="preserve">Balanced everyday workhorse; the production default for most work.</t>
  </si>
  <si>
    <t xml:space="preserve">Opus 4.8</t>
  </si>
  <si>
    <t xml:space="preserve">Most capable standard model; hardest reasoning, analysis, long-context (higher cost/token).</t>
  </si>
  <si>
    <t xml:space="preserve">Mythos-class (Mythos 5 / Fable 5)</t>
  </si>
  <si>
    <t xml:space="preserve">Frontier tier: ~1M-token context, many parallel subagents, long-horizon autonomous work. Access restricted (Project Glasswing). [VERIFY current frontier-tier name/status — docs reference 'Claude Mythos Preview' as of 6/2026.]</t>
  </si>
  <si>
    <t xml:space="preserve">Reasoning controls</t>
  </si>
  <si>
    <t xml:space="preserve">Extended thinking (scratchpad reasoning) and effort controls; knowing WHEN deeper reasoning is worth time/cost.</t>
  </si>
  <si>
    <t xml:space="preserve">Modality boundary</t>
  </si>
  <si>
    <t xml:space="preserve">Text + image input, text/code output; Claude does NOT natively generate images, audio, or video.</t>
  </si>
  <si>
    <t xml:space="preserve">Customizing Claude</t>
  </si>
  <si>
    <t xml:space="preserve">Via prompting, system prompts, Projects, Styles, Skills — not customer fine-tuned, so invest effort there.</t>
  </si>
  <si>
    <t xml:space="preserve">Model lifecycle</t>
  </si>
  <si>
    <t xml:space="preserve">Stable model IDs &amp; versioning, model cards, pricing page, deprecation policy; current models multilingual w/ text+image input. [Keep dated: Sonnet 4 / Opus 4 retired 15 Jun 2026; Opus 3 retired 5 Jan 2026.]</t>
  </si>
  <si>
    <t xml:space="preserve">L1</t>
  </si>
  <si>
    <t xml:space="preserve">Claude.ai — chat surface</t>
  </si>
  <si>
    <t xml:space="preserve">Prompting, context, iteration, formatting control.</t>
  </si>
  <si>
    <t xml:space="preserve">Edit an earlier message or Retry/regenerate to fork the chat; toggle between versions; reuse a context as a branch point.</t>
  </si>
  <si>
    <t xml:space="preserve">M02 / M03b</t>
  </si>
  <si>
    <t xml:space="preserve">System prompts, XML tags, multishot examples, chain-of-thought, prefilling, reusable templates w/ variables; console prompt generator &amp; improver.</t>
  </si>
  <si>
    <t xml:space="preserve">L2</t>
  </si>
  <si>
    <t xml:space="preserve">Persistent workspaces: knowledge base + custom instructions; org sharing; automatic RAG over large KBs; per-project memory.</t>
  </si>
  <si>
    <t xml:space="preserve">Artifacts</t>
  </si>
  <si>
    <t xml:space="preserve">Self-contained outputs (docs, dashboards, diagrams, calculators, single-page HTML tools); AI-powered (call API at runtime); persistent storage; Enterprise internal-only; Imagine/visual side.</t>
  </si>
  <si>
    <t xml:space="preserve">Inline visualizations</t>
  </si>
  <si>
    <t xml:space="preserve">Interactive charts and diagrams drawn directly inside the chat.</t>
  </si>
  <si>
    <t xml:space="preserve">Memory</t>
  </si>
  <si>
    <t xml:space="preserve">Context across chats; project-scoped memory; generate memory from chat history; managing what's remembered.</t>
  </si>
  <si>
    <t xml:space="preserve">L3</t>
  </si>
  <si>
    <t xml:space="preserve">M18 / M19</t>
  </si>
  <si>
    <t xml:space="preserve">Packaged reusable workflows (SKILL.md folder + optional scripts/resources) that load on demand; built-in (Excel/PPT/Word/PDF); custom and org-provisioned.</t>
  </si>
  <si>
    <t xml:space="preserve">Styles</t>
  </si>
  <si>
    <t xml:space="preserve">Per-chat tone presets (Normal, Learning, Concise, Explanatory, Formal); custom styles from a writing sample or prompt; migrating into Skills.</t>
  </si>
  <si>
    <t xml:space="preserve">Web search &amp; Research</t>
  </si>
  <si>
    <t xml:space="preserve">Live web grounding and multi-source deep research.</t>
  </si>
  <si>
    <t xml:space="preserve">Vision</t>
  </si>
  <si>
    <t xml:space="preserve">Reading screenshots, diagrams, photos, documents.</t>
  </si>
  <si>
    <t xml:space="preserve">Files &amp; PDF</t>
  </si>
  <si>
    <t xml:space="preserve">Uploading and working with documents and data.</t>
  </si>
  <si>
    <t xml:space="preserve">Claude running code to compute, analyze data, and create files in chat.</t>
  </si>
  <si>
    <t xml:space="preserve">Enterprise Search</t>
  </si>
  <si>
    <t xml:space="preserve">Connect internal knowledge bases/documents so Claude answers from your org's own content.</t>
  </si>
  <si>
    <t xml:space="preserve">Connectors / MCP in chat</t>
  </si>
  <si>
    <t xml:space="preserve">Google Workspace (Docs, Sheets, Gmail), GitHub, Slack, Microsoft 365, more; plus anything custom via MCP.</t>
  </si>
  <si>
    <t xml:space="preserve">Search &amp; reference past chats</t>
  </si>
  <si>
    <t xml:space="preserve">Pulling from your conversation history.</t>
  </si>
  <si>
    <t xml:space="preserve">Voice input</t>
  </si>
  <si>
    <t xml:space="preserve">Mic in the compose bar transcribes speech in real time (editable before sending); good for brain-dumps.</t>
  </si>
  <si>
    <t xml:space="preserve">Voice Mode (two-way)</t>
  </si>
  <si>
    <t xml:space="preserve">Spoken back-and-forth conversation on mobile (distinct from voice-input transcription); voice options; hands-free use.</t>
  </si>
  <si>
    <t xml:space="preserve">Shared chat links</t>
  </si>
  <si>
    <t xml:space="preserve">Read-only snapshot of a conversation; in a Project on Team/Enterprise, post to the team activity feed.</t>
  </si>
  <si>
    <t xml:space="preserve">Chat management</t>
  </si>
  <si>
    <t xml:space="preserve">Rename, star/favorite, archive, delete, organize; move chats into/out of Projects (controls project memory).</t>
  </si>
  <si>
    <t xml:space="preserve">Citations &amp; languages</t>
  </si>
  <si>
    <t xml:space="preserve">Cites sources on web/Research/connectors; works across many languages for input and output.</t>
  </si>
  <si>
    <t xml:space="preserve">Settings, personalization &amp; privacy</t>
  </si>
  <si>
    <t xml:space="preserve">Personalization stack (3 layers)</t>
  </si>
  <si>
    <t xml:space="preserve">(1) Profile / 'Instructions for Claude' (account-wide); (2) Project instructions (per-project); (3) Styles (per-chat). Master when to reach for each.</t>
  </si>
  <si>
    <t xml:space="preserve">Capabilities toggles</t>
  </si>
  <si>
    <t xml:space="preserve">Settings -&gt; Capabilities: turn web search, code execution &amp; file creation, Artifacts, and memory on/off.</t>
  </si>
  <si>
    <t xml:space="preserve">Long-context toggle</t>
  </si>
  <si>
    <t xml:space="preserve">Extended (~1M-token) context on supported models, for very large inputs. [UPDATED: 1M context now GA (not beta) on Opus 4.6/4.8 &amp; Sonnet 4.6.]</t>
  </si>
  <si>
    <t xml:space="preserve">Privacy &amp; data controls</t>
  </si>
  <si>
    <t xml:space="preserve">'Help improve Claude' training toggle + retention; 'Search and reference chats'; pausing/clearing memory; deleting data.</t>
  </si>
  <si>
    <t xml:space="preserve">Incognito mode</t>
  </si>
  <si>
    <t xml:space="preserve">Per-chat ghost icon: out of history and training, memory disabled. On Team/Enterprise still under org retention/export.</t>
  </si>
  <si>
    <t xml:space="preserve">Memory management</t>
  </si>
  <si>
    <t xml:space="preserve">Review, edit, delete what Claude remembers ('what do you know about me?'; tell it to forget specifics).</t>
  </si>
  <si>
    <t xml:space="preserve">Accessibility &amp; appearance</t>
  </si>
  <si>
    <t xml:space="preserve">Light/auto/dark themes, dyslexia-friendly font, task-completion notifications; keyboard shortcuts.</t>
  </si>
  <si>
    <t xml:space="preserve">The AI Migrator</t>
  </si>
  <si>
    <t xml:space="preserve">Imports your preferences (and can carry context) when moving from another assistant.</t>
  </si>
  <si>
    <t xml:space="preserve">Claude Cowork</t>
  </si>
  <si>
    <t xml:space="preserve">Cowork overview</t>
  </si>
  <si>
    <t xml:space="preserve">Agentic desktop app for non-developers: describe an outcome; Claude plans &amp; executes multi-step work into real deliverables.</t>
  </si>
  <si>
    <t xml:space="preserve">Folder/file access</t>
  </si>
  <si>
    <t xml:space="preserve">Read, edit, and create files in a folder you grant (back up first; review changes).</t>
  </si>
  <si>
    <t xml:space="preserve">Sub-agents (Cowork)</t>
  </si>
  <si>
    <t xml:space="preserve">Spin up parallel sub-agents for parallelizable work.</t>
  </si>
  <si>
    <t xml:space="preserve">Plugins (Cowork)</t>
  </si>
  <si>
    <t xml:space="preserve">Extend Cowork with packaged capabilities; org plugin marketplaces; build your own.</t>
  </si>
  <si>
    <t xml:space="preserve">Projects in Cowork</t>
  </si>
  <si>
    <t xml:space="preserve">Organize tasks into workspaces with their own files, instructions, and memory.</t>
  </si>
  <si>
    <t xml:space="preserve">Tools in Cowork</t>
  </si>
  <si>
    <t xml:space="preserve">Drive Claude in Chrome, Excel, PowerPoint, and Design as tools.</t>
  </si>
  <si>
    <t xml:space="preserve">Claude can operate your computer (screenshots, clicks, typing) for native-app &amp; cross-app tasks; Dispatch hands tasks across phone/browser/desktop.</t>
  </si>
  <si>
    <t xml:space="preserve">Scheduled tasks</t>
  </si>
  <si>
    <t xml:space="preserve">Set work to run automatically on a schedule (daily/weekly) or once in the future (e.g. a recurring adoption digest).</t>
  </si>
  <si>
    <t xml:space="preserve">Live artifacts</t>
  </si>
  <si>
    <t xml:space="preserve">Persistent HTML views that re-pull fresh connector data each time they're opened — turn a one-off answer into a reusable page.</t>
  </si>
  <si>
    <t xml:space="preserve">L4</t>
  </si>
  <si>
    <t xml:space="preserve">Claude Code</t>
  </si>
  <si>
    <t xml:space="preserve">Surfaces</t>
  </si>
  <si>
    <t xml:space="preserve">Terminal, VS Code, JetBrains, desktop/mobile app, browser; CLI &amp; VS Code can use third-party model providers.</t>
  </si>
  <si>
    <t xml:space="preserve">Agentic coding</t>
  </si>
  <si>
    <t xml:space="preserve">Reads a codebase, plans, edits across files, runs tests.</t>
  </si>
  <si>
    <t xml:space="preserve">Subagents &amp; multi-agent orchestration (Agent Teams)</t>
  </si>
  <si>
    <t xml:space="preserve">Lead agent delegating to specialized parallel subagents.</t>
  </si>
  <si>
    <t xml:space="preserve">Background agents</t>
  </si>
  <si>
    <t xml:space="preserve">Run several full sessions in parallel and watch them from the Agent view.</t>
  </si>
  <si>
    <t xml:space="preserve">Auto memory &amp; session management</t>
  </si>
  <si>
    <t xml:space="preserve">Saves learnings across sessions; resume/fork via --continue / --resume / --fork-session.</t>
  </si>
  <si>
    <t xml:space="preserve">CLAUDE.md</t>
  </si>
  <si>
    <t xml:space="preserve">Project file giving Claude persistent context, conventions, and instructions for a codebase/folder.</t>
  </si>
  <si>
    <t xml:space="preserve">Commands &amp; loop controls</t>
  </si>
  <si>
    <t xml:space="preserve">Slash &amp; custom commands, hooks, /loop, /effort, Auto mode, Safe mode — automation/control of the agent loop.</t>
  </si>
  <si>
    <t xml:space="preserve">Plan mode &amp; output styles</t>
  </si>
  <si>
    <t xml:space="preserve">Plan mode (agent proposes a plan before acting); output styles (Default / Explanatory / Learning) that reshape how Claude works and teaches.</t>
  </si>
  <si>
    <t xml:space="preserve">Permissions &amp; settings.json</t>
  </si>
  <si>
    <t xml:space="preserve">Permission modes (default / acceptEdits / read-only / bypass); settings.json project &amp; user config; the Auto-mode classifier.</t>
  </si>
  <si>
    <t xml:space="preserve">Checkpoints / rewind &amp; CI</t>
  </si>
  <si>
    <t xml:space="preserve">Undo agent changes; headless / CI mode; GitHub Actions integration.</t>
  </si>
  <si>
    <t xml:space="preserve">Plugins, MCP, Skills, computer use</t>
  </si>
  <si>
    <t xml:space="preserve">Plugins &amp; marketplaces (loadable from .zip and URLs); MCP servers; Skills; computer use in the CLI.</t>
  </si>
  <si>
    <t xml:space="preserve">Managed settings, permissions, OS sandbox</t>
  </si>
  <si>
    <t xml:space="preserve">Enterprise/IT controls over the agent.</t>
  </si>
  <si>
    <t xml:space="preserve">Publishing &amp; usage</t>
  </si>
  <si>
    <t xml:space="preserve">Publishing artifacts from a Code session; /usage attribution and spend caps.</t>
  </si>
  <si>
    <t xml:space="preserve">Claude apps</t>
  </si>
  <si>
    <t xml:space="preserve">Browsing agent that navigates, clicks, and fills forms.</t>
  </si>
  <si>
    <t xml:space="preserve">Spreadsheet agent/sidebar for building, updating, explaining workbooks.</t>
  </si>
  <si>
    <t xml:space="preserve">A slides agent.</t>
  </si>
  <si>
    <t xml:space="preserve">Canvas + design tools via chat; imports your design system; works with Claude Code; at claude.ai/design.</t>
  </si>
  <si>
    <t xml:space="preserve">Claude on mobile</t>
  </si>
  <si>
    <t xml:space="preserve">Chat on the go incl. voice; can reach Cowork and Code remotely.</t>
  </si>
  <si>
    <t xml:space="preserve">Claude Tag (@Claude in Slack)</t>
  </si>
  <si>
    <t xml:space="preserve">Mention @Claude as a team member in Slack with access to channels, tools, and codebases.</t>
  </si>
  <si>
    <t xml:space="preserve">Developer Platform / API</t>
  </si>
  <si>
    <t xml:space="preserve">Messages API &amp; basics</t>
  </si>
  <si>
    <t xml:space="preserve">Messages API and the model lineup; streaming; structured outputs.</t>
  </si>
  <si>
    <t xml:space="preserve">Built-in (server) tools: web search, web fetch, code execution, computer use, text-editor, bash, memory tool; parallel tool use; strict tool use; tool-choice control. [VERIFY: an 'advisor' built-in tool was not confirmed in current docs.]</t>
  </si>
  <si>
    <t xml:space="preserve">Tool search (dynamic discovery), programmatic tool calling, fine-grained tool streaming, tool combinations, managing tool context.</t>
  </si>
  <si>
    <t xml:space="preserve">Extended thinking, vision, files, citations</t>
  </si>
  <si>
    <t xml:space="preserve">Extended thinking via the API; vision; files &amp; PDF support; citations.</t>
  </si>
  <si>
    <t xml:space="preserve">Memory tool &amp; context editing (beyond one window); compaction; mid-conversation system messages; orchestration mode; cache diagnostics; token counting.</t>
  </si>
  <si>
    <t xml:space="preserve">Prompt caching &amp; Batch API</t>
  </si>
  <si>
    <t xml:space="preserve">Cache reused context cheaply; Batch API (50% discount, async).</t>
  </si>
  <si>
    <t xml:space="preserve">1M context window (GA)</t>
  </si>
  <si>
    <t xml:space="preserve">Up to 1M-token context generally available on Opus 4.6/4.8 &amp; Sonnet 4.6 (no beta header under 1M); long-context pricing tier applies above 200K.</t>
  </si>
  <si>
    <t xml:space="preserve">Interleaved &amp; extended thinking with tools</t>
  </si>
  <si>
    <t xml:space="preserve">Thinking interleaved with tool calls (beta header) so the model reasons between tool results for better agentic decisions.</t>
  </si>
  <si>
    <t xml:space="preserve">MCP connector in the API</t>
  </si>
  <si>
    <t xml:space="preserve">Call remote MCP servers directly from the Messages API — not just inside the apps.</t>
  </si>
  <si>
    <t xml:space="preserve">Platform utility APIs</t>
  </si>
  <si>
    <t xml:space="preserve">Files API, Models API, Token-counting API, Message Batches API, and the prompt tools API (generate / improve / templatize).</t>
  </si>
  <si>
    <t xml:space="preserve">Workbench; prompt generator/improver; evals/batch testing.</t>
  </si>
  <si>
    <t xml:space="preserve">Citations for custom RAG</t>
  </si>
  <si>
    <t xml:space="preserve">Search-result content blocks let your own tools return sources Claude cites automatically.</t>
  </si>
  <si>
    <t xml:space="preserve">Skills API (/v1/skills)</t>
  </si>
  <si>
    <t xml:space="preserve">Provisioning skills programmatically.</t>
  </si>
  <si>
    <t xml:space="preserve">Standard patterns for building multi-agent systems.</t>
  </si>
  <si>
    <t xml:space="preserve">Cloud-hosted: Dreaming (curate memory from past sessions), multiagent orchestration, Outcomes (grader rubric -&gt; revise), scheduled deployments (cron), webhooks.</t>
  </si>
  <si>
    <t xml:space="preserve">Deployment options</t>
  </si>
  <si>
    <t xml:space="preserve">Anthropic API + AWS Bedrock, Google Vertex AI, Microsoft Foundry; embeddings for RAG from partner models (e.g. Voyage AI), not first-party.</t>
  </si>
  <si>
    <t xml:space="preserve">Console &amp; org tooling</t>
  </si>
  <si>
    <t xml:space="preserve">Developer Console w/ Workspaces, API keys, Cost &amp; Usage pages, rate limits/usage tiers, Usage &amp; Cost API, Admin API, Compliance API.</t>
  </si>
  <si>
    <t xml:space="preserve">SDKs &amp; learning resources</t>
  </si>
  <si>
    <t xml:space="preserve">Official Python &amp; TypeScript client libraries (verify current set — confirm whether C#/others are first-party); the Cookbook and Quickstarts for runnable examples.</t>
  </si>
  <si>
    <t xml:space="preserve">MCP &amp; connectors</t>
  </si>
  <si>
    <t xml:space="preserve">Model Context Protocol (MCP)</t>
  </si>
  <si>
    <t xml:space="preserve">Open standard connecting Claude to external tools, data, and services through a common interface.</t>
  </si>
  <si>
    <t xml:space="preserve">Connector types</t>
  </si>
  <si>
    <t xml:space="preserve">Remote MCP connectors; one-click local MCP on Desktop; enterprise-managed MCP (admins provision via IdP, e.g. Okta; zero-touch).</t>
  </si>
  <si>
    <t xml:space="preserve">Build your own MCP server; browse the connectors directory; OAuth for secure remote authorization.</t>
  </si>
  <si>
    <t xml:space="preserve">L5</t>
  </si>
  <si>
    <t xml:space="preserve">Enterprise / admin layer</t>
  </si>
  <si>
    <t xml:space="preserve">SSO (SAML 2.0/OIDC); provisioning via SCIM/JIT/manual; domain capture; role-based permissions (Primary Owner/Owner/Admin/Member); Admin API.</t>
  </si>
  <si>
    <t xml:space="preserve">Spend limits at org/group-seat-tier/user level (default no cap); usage credits, model right-sizing, prompt caching, batch, Claude Code per-session caps.</t>
  </si>
  <si>
    <t xml:space="preserve">Sharing &amp; collaboration controls</t>
  </si>
  <si>
    <t xml:space="preserve">Org-wide Skills provisioning + sharing toggles (off by default); project sharing (Can use/Can edit; public-projects toggle); artifact internal-only; connector restrictions; enterprise-managed MCP; unified directory.</t>
  </si>
  <si>
    <t xml:space="preserve">Capability controls (org toggles)</t>
  </si>
  <si>
    <t xml:space="preserve">Default model; enable/disable Code Execution &amp; file creation, Skills, Cowork, web search, public projects; Cowork network-egress allowlists; Cowork org branding.</t>
  </si>
  <si>
    <t xml:space="preserve">No training on your data; configurable retention; data residency; audit logs; Compliance API; OpenTelemetry-&gt;SIEM; SOC 2 Type 2 / ISO 27001 / HIPAA-readiness; data-ownership terms.</t>
  </si>
  <si>
    <t xml:space="preserve">Data-protection guardrail; monitor via audit logs, Compliance API, usage analytics; block a specific agent/Skill/connector; preventive/detective/responsive/cultural mechanisms.</t>
  </si>
  <si>
    <t xml:space="preserve">Usage analytics dashboard; 'analytics chat' (ask Claude about org usage); seat and spend reporting.</t>
  </si>
  <si>
    <t xml:space="preserve">Deployment &amp; procurement</t>
  </si>
  <si>
    <t xml:space="preserve">Enterprise via direct contract or AWS Marketplace; self-serve vs sales-assisted; Bedrock/Vertex/Foundry.</t>
  </si>
  <si>
    <t xml:space="preserve">Plan awareness</t>
  </si>
  <si>
    <t xml:space="preserve">Free / Pro / Max / Team / Enterprise, and seat types — so you can advise who needs what.</t>
  </si>
  <si>
    <t xml:space="preserve">Plugin/skill marketplaces</t>
  </si>
  <si>
    <t xml:space="preserve">Public Claude Marketplace + private org marketplaces; enterprise plugin governance (approve / restrict what users can install).</t>
  </si>
  <si>
    <t xml:space="preserve">Claude for Small Business</t>
  </si>
  <si>
    <t xml:space="preserve">SMB bundle of connectors/workflows (QuickBooks, PayPal, HubSpot, Canva, Docusign, etc.) — know it exists for advising.</t>
  </si>
  <si>
    <t xml:space="preserve">Partner Network / Services Track</t>
  </si>
  <si>
    <t xml:space="preserve">Anthropic's partner &amp; services ecosystem — relevant for procurement and enablement support.</t>
  </si>
  <si>
    <t xml:space="preserve">Cross / L1-5</t>
  </si>
  <si>
    <t xml:space="preserve">Craft, Safety &amp; Ecosystem</t>
  </si>
  <si>
    <t xml:space="preserve">Anthropic's Usage Policy — what's allowed and prohibited; the baseline for your responsible-use guidance.</t>
  </si>
  <si>
    <t xml:space="preserve">Constitutional AI &amp; Claude's Constitution</t>
  </si>
  <si>
    <t xml:space="preserve">How Claude is trained to be helpful/honest/harmless; Claude's Constitution (updated 2026) — the 'why' behind its behavior.</t>
  </si>
  <si>
    <t xml:space="preserve">Responsible Scaling Policy &amp; Classifiers</t>
  </si>
  <si>
    <t xml:space="preserve">RSP (AI Safety Levels) and Constitutional Classifiers (jailbreak/misuse defense) — safety framing for leadership briefings.</t>
  </si>
  <si>
    <t xml:space="preserve">Workflows vs. agents; prompt chaining, routing, parallelization, orchestrator-workers, evaluator-optimizer.</t>
  </si>
  <si>
    <t xml:space="preserve">Context engineering</t>
  </si>
  <si>
    <t xml:space="preserve">Curating what's in the context window: what to include, retrieve, compact, and clear for reliable long-horizon work.</t>
  </si>
  <si>
    <t xml:space="preserve">Writing effective tools for agents</t>
  </si>
  <si>
    <t xml:space="preserve">Designing tool names, descriptions, inputs, and outputs so agents call them reliably.</t>
  </si>
  <si>
    <t xml:space="preserve">Structuring autonomous/long-running agents: memory, checkpoints, recovery, and human oversight.</t>
  </si>
  <si>
    <t xml:space="preserve">Reduce hallucinations, increase consistency, keep Claude in character, mitigate jailbreaks &amp; prompt injection, reduce prompt leak.</t>
  </si>
  <si>
    <t xml:space="preserve">Define success criteria; design test cases; code-based vs. LLM-as-judge grading; iterate prompts/agents empirically.</t>
  </si>
  <si>
    <t xml:space="preserve">Official courses + Claude Certified Architect (Foundations); a model for your own Champion certification.</t>
  </si>
  <si>
    <t xml:space="preserve">Level</t>
  </si>
  <si>
    <t xml:space="preserve">Component</t>
  </si>
  <si>
    <t xml:space="preserve">Detail</t>
  </si>
  <si>
    <t xml:space="preserve">Done? (Y/N)</t>
  </si>
  <si>
    <t xml:space="preserve">Level 1 — Foundations</t>
  </si>
  <si>
    <t xml:space="preserve">Learn</t>
  </si>
  <si>
    <t xml:space="preserve">Prompting (role/task/audience/format/constraints/examples); prompt-engineering building blocks (system prompts, XML tags, multishot, chain-of-thought, prefilling, reusable templates); giving context; iterating; verifying outputs; choosing the right model &amp; when to use extended thinking; chat-surface basics.</t>
  </si>
  <si>
    <t xml:space="preserve">Exercise 1</t>
  </si>
  <si>
    <t xml:space="preserve">Take a weak one-line prompt and improve it through five iterations; note what each change bought you.</t>
  </si>
  <si>
    <t xml:space="preserve">Exercise 2</t>
  </si>
  <si>
    <t xml:space="preserve">Run the same real task (e.g. summarize a 30-page policy) on Haiku, Sonnet, and Opus; compare quality, speed, and the right call.</t>
  </si>
  <si>
    <t xml:space="preserve">Exercise 3</t>
  </si>
  <si>
    <t xml:space="preserve">Turn a messy request into a structured prompt that returns exactly the format you want (table, 5-bullet brief, draft email).</t>
  </si>
  <si>
    <t xml:space="preserve">Exercise 4</t>
  </si>
  <si>
    <t xml:space="preserve">Deliberately catch a Claude mistake by verifying a factual claim against a source.</t>
  </si>
  <si>
    <t xml:space="preserve">Exercise 5</t>
  </si>
  <si>
    <t xml:space="preserve">Use extended thinking on a genuinely hard reasoning task and a simple one; feel the difference.</t>
  </si>
  <si>
    <t xml:space="preserve">Exercise 6</t>
  </si>
  <si>
    <t xml:space="preserve">Build a reusable prompt template (placeholders + XML tags + worked example) for a task you do often; run a weak prompt through the console's prompt improver and study the changes.</t>
  </si>
  <si>
    <t xml:space="preserve">Mastery check</t>
  </si>
  <si>
    <t xml:space="preserve">Reliably great result on first/second try; structure prompts with tags &amp; examples; choose models deliberately; never take output as truth without checking; can teach prompting &amp; basic prompt engineering in 10 minutes.</t>
  </si>
  <si>
    <t xml:space="preserve">Level 2 — Power User</t>
  </si>
  <si>
    <t xml:space="preserve">Projects; Artifacts; Memory &amp; management; Styles; Web search &amp; Research; Vision; Files/PDF; analysis/code-execution tool; Enterprise Search; connectors (Google Workspace &amp; others).</t>
  </si>
  <si>
    <t xml:space="preserve">Build a Project with a knowledge base + custom instructions for a real workstream; prove it beats re-pasting context every time.</t>
  </si>
  <si>
    <t xml:space="preserve">Have Claude build an artifact (e.g. adoption-metrics dashboard or ROI calculator) and share it internally.</t>
  </si>
  <si>
    <t xml:space="preserve">Run a Research task that needs real breadth; compare it to a single web search.</t>
  </si>
  <si>
    <t xml:space="preserve">Drop in a screenshot/diagram and have Claude read and act on it (vision).</t>
  </si>
  <si>
    <t xml:space="preserve">Upload a spreadsheet/dataset and have the analysis tool compute and chart something real.</t>
  </si>
  <si>
    <t xml:space="preserve">Create a Style that matches BJ's associate-first voice and reuse it.</t>
  </si>
  <si>
    <t xml:space="preserve">Exercise 7</t>
  </si>
  <si>
    <t xml:space="preserve">Connect a knowledge source (or use Enterprise Search) and answer from your org's own content; compare to pasting files.</t>
  </si>
  <si>
    <t xml:space="preserve">Instinctively reach for Projects/Artifacts/Research/Analysis/Enterprise Search at the right moments; build a shareable internal tool from scratch; teach each to a beginner with a live demo.</t>
  </si>
  <si>
    <t xml:space="preserve">Level 3 — Workflow Architect</t>
  </si>
  <si>
    <t xml:space="preserve">Skills (author SKILL.md, test, document, plan org provisioning); Cowork (agentic multi-step tasks, sub-agents, plugins); the Claude apps (Chrome, Excel, PowerPoint, Design) as power tools.</t>
  </si>
  <si>
    <t xml:space="preserve">Author, test, and document one Skill that encodes a repeatable BJ's workflow (e.g. standard report format or brand-voice rewriter); plan how you'd provision it org-wide.</t>
  </si>
  <si>
    <t xml:space="preserve">Give Cowork a real multi-step deliverable (e.g. analyze a folder of feedback -&gt; summary deck); watch it plan, use sub-agents, produce files; review every change.</t>
  </si>
  <si>
    <t xml:space="preserve">Use Claude in Excel on a real workbook and Claude in PowerPoint to build a deck; note where each shines.</t>
  </si>
  <si>
    <t xml:space="preserve">Build something in Claude Design from a prompt and iterate on the canvas.</t>
  </si>
  <si>
    <t xml:space="preserve">Package a workflow as a Skill end-to-end; hand Cowork a genuinely complex task and supervise it well; demo the apps convincingly to a skeptical team.</t>
  </si>
  <si>
    <t xml:space="preserve">Level 4 — Agentic &amp; Developer</t>
  </si>
  <si>
    <t xml:space="preserve">Claude Code (agentic automation, subagents/Agent Teams, CLAUDE.md, slash/custom commands, headless, hooks, plugins, MCP, computer use); MCP; API/platform (tool use incl. built-in tools, prompt caching, batch, files, structured outputs, memory tool/context editing); evals; Agent SDK &amp; Managed Agents; deployment options.</t>
  </si>
  <si>
    <t xml:space="preserve">Install Claude Code and have it do something real (reorganize training files or build a small internal script/tool); try a subagent task, a CLAUDE.md, and /effort and Auto/Safe modes.</t>
  </si>
  <si>
    <t xml:space="preserve">Connect one MCP server/connector and use it from chat or Code; understand the auth and least-privilege model.</t>
  </si>
  <si>
    <t xml:space="preserve">Make a handful of API calls (even in a notebook): a basic message, a tool-use call, and a prompt-caching example; feel how the platform differs from the app.</t>
  </si>
  <si>
    <t xml:space="preserve">Read how Managed Agents work (scheduled deployments, Outcomes, Dreaming) and design on paper an agent for your enablement program (e.g. recurring adoption-digest).</t>
  </si>
  <si>
    <t xml:space="preserve">Write a small eval: a few test cases + a simple rubric for a prompt/agent; use it to compare two prompt versions.</t>
  </si>
  <si>
    <t xml:space="preserve">Wire Claude into an external tool via MCP; run Claude Code for non-trivial automation; test a prompt/agent with an eval; accurately explain the API &amp; agent platform (cost/governance, where Claude runs) to a technical Champion or platform team.</t>
  </si>
  <si>
    <t xml:space="preserve">Level 5 — Frontier / World-Class</t>
  </si>
  <si>
    <t xml:space="preserve">Org-scale deployment &amp; the enterprise/admin layer; designing accelerators for hundreds of users; teaching &amp; certifying others; contributing to the ecosystem; the meta-skill of staying ahead.</t>
  </si>
  <si>
    <t xml:space="preserve">Design BJ's 'golden path': which surfaces and accelerators each role should use, and the org-provisioned Skills/Projects/agents that support them.</t>
  </si>
  <si>
    <t xml:space="preserve">Build a Champion-ready teaching module for one advanced capability (deck + live demo + exercise + check).</t>
  </si>
  <si>
    <t xml:space="preserve">Write a one-page 'what changed recently in Claude and what it means for us' brief — and keep doing it on a cadence.</t>
  </si>
  <si>
    <t xml:space="preserve">Pick one frontier capability (e.g. Managed Agents or multi-agent orchestration) and go genuinely deep until you could advise the platform team.</t>
  </si>
  <si>
    <t xml:space="preserve">People inside BJ's treat you as THE Claude authority; you can deploy, govern, and teach Claude at org scale; you have a running system that keeps you current.</t>
  </si>
  <si>
    <t xml:space="preserve">Group</t>
  </si>
  <si>
    <t xml:space="preserve">Capability</t>
  </si>
  <si>
    <t xml:space="preserve">Score (1-4)</t>
  </si>
  <si>
    <t xml:space="preserve">Foundations</t>
  </si>
  <si>
    <t xml:space="preserve">Prompting fundamentals (role/task/format/examples/iteration)</t>
  </si>
  <si>
    <t xml:space="preserve">Prompt engineering (system prompts, XML tags, multishot, prefill, templates)</t>
  </si>
  <si>
    <t xml:space="preserve">Context &amp; verification habits</t>
  </si>
  <si>
    <t xml:space="preserve">Model selection + when to use extended thinking</t>
  </si>
  <si>
    <t xml:space="preserve">Power user</t>
  </si>
  <si>
    <t xml:space="preserve">Projects (knowledge base, instructions, sharing)</t>
  </si>
  <si>
    <t xml:space="preserve">Artifacts (build + share an internal tool; AI-powered + storage)</t>
  </si>
  <si>
    <t xml:space="preserve">Memory, Styles, Files/Vision</t>
  </si>
  <si>
    <t xml:space="preserve">Analysis / code-execution tool</t>
  </si>
  <si>
    <t xml:space="preserve">Enterprise Search &amp; connectors (Google Workspace, etc.)</t>
  </si>
  <si>
    <t xml:space="preserve">Personalization stack (global Profile, Project instructions, Styles)</t>
  </si>
  <si>
    <t xml:space="preserve">Settings &amp; privacy (capabilities toggles, incognito, data controls, memory mgmt)</t>
  </si>
  <si>
    <t xml:space="preserve">Workflow architect</t>
  </si>
  <si>
    <t xml:space="preserve">Skills (author, test, document, plan org provisioning)</t>
  </si>
  <si>
    <t xml:space="preserve">Cowork (multi-step tasks, sub-agents, plugins)</t>
  </si>
  <si>
    <t xml:space="preserve">Claude apps (Chrome, Excel, PowerPoint, Design)</t>
  </si>
  <si>
    <t xml:space="preserve">Agentic &amp; developer</t>
  </si>
  <si>
    <t xml:space="preserve">Claude Code (agentic automation, subagents, CLAUDE.md, commands, headless)</t>
  </si>
  <si>
    <t xml:space="preserve">MCP (connect a tool/data source; auth &amp; least privilege)</t>
  </si>
  <si>
    <t xml:space="preserve">API / platform (tool use incl. built-in tools, prompt caching, batch, structured outputs)</t>
  </si>
  <si>
    <t xml:space="preserve">Memory tool &amp; context editing</t>
  </si>
  <si>
    <t xml:space="preserve">Evals / testing</t>
  </si>
  <si>
    <t xml:space="preserve">Agent SDK &amp; Managed Agents (orchestration, Outcomes, scheduled, Dreaming)</t>
  </si>
  <si>
    <t xml:space="preserve">Deployment options — awareness (API vs Bedrock / Vertex / Foundry)</t>
  </si>
  <si>
    <t xml:space="preserve">Frontier / leadership</t>
  </si>
  <si>
    <t xml:space="preserve">Enterprise/admin layer (identity, spend governance, sharing, capability toggles, data/compliance, responsible-AI monitoring, analytics)</t>
  </si>
  <si>
    <t xml:space="preserve">Designing org-scale accelerators (Skills/Projects/agents for many users)</t>
  </si>
  <si>
    <t xml:space="preserve">Teaching &amp; certifying others</t>
  </si>
  <si>
    <t xml:space="preserve">A running system for staying current</t>
  </si>
  <si>
    <t xml:space="preserve">Scale: 1 = new to it · 2 = can do it with help · 3 = fluent &amp; independent · 4 = can teach it &amp; handle edge cases</t>
  </si>
  <si>
    <t xml:space="preserve">What to verify</t>
  </si>
  <si>
    <t xml:space="preserve">Authoritative source</t>
  </si>
  <si>
    <t xml:space="preserve">Claude.ai (app) features &amp; how-to</t>
  </si>
  <si>
    <t xml:space="preserve">support.claude.com</t>
  </si>
  <si>
    <t xml:space="preserve">Developer platform / API (incl. API changelog)</t>
  </si>
  <si>
    <t xml:space="preserve">docs.claude.com  /  platform.claude.com</t>
  </si>
  <si>
    <t xml:space="preserve">code.claude.com  /  Claude Code docs &amp; update notes</t>
  </si>
  <si>
    <t xml:space="preserve">Announcements &amp; deep dives</t>
  </si>
  <si>
    <t xml:space="preserve">claude.com/blog  /  anthropic.com/news</t>
  </si>
  <si>
    <t xml:space="preserve">Skills, MCP &amp; agents</t>
  </si>
  <si>
    <t xml:space="preserve">Agent Skills docs · Model Context Protocol docs · Managed Agents / Agent SDK docs</t>
  </si>
  <si>
    <t xml:space="preserve">Learning by example</t>
  </si>
  <si>
    <t xml:space="preserve">Anthropic Cookbook · platform Quickstarts</t>
  </si>
  <si>
    <t xml:space="preserve">Rule: treat every model name, price, limit, and feature detail as perishable. Verify against the source and note the date checked. Snapshot verified 26 June 2026.</t>
  </si>
  <si>
    <t xml:space="preserve">Change</t>
  </si>
  <si>
    <t xml:space="preserve">Topic / Area</t>
  </si>
  <si>
    <t xml:space="preserve">What changed</t>
  </si>
  <si>
    <t xml:space="preserve">Why</t>
  </si>
  <si>
    <t xml:space="preserve">Source</t>
  </si>
  <si>
    <t xml:space="preserve">Added area</t>
  </si>
  <si>
    <t xml:space="preserve">New sixth area: 10 topics covering responsible-AI/safety, agent-design &amp; prompt craft, eval method, and Anthropic Academy/certification.</t>
  </si>
  <si>
    <t xml:space="preserve">Closes the biggest gaps for an enablement lead vs. the original file.</t>
  </si>
  <si>
    <t xml:space="preserve">anthropic.com/news, anthropic.com/engineering, platform.claude.com/docs</t>
  </si>
  <si>
    <t xml:space="preserve">Added topic</t>
  </si>
  <si>
    <t xml:space="preserve">Two-way spoken conversation, distinct from voice-input transcription.</t>
  </si>
  <si>
    <t xml:space="preserve">File only had 'voice input'.</t>
  </si>
  <si>
    <t xml:space="preserve">Claude operating your computer + cross-surface task handoff.</t>
  </si>
  <si>
    <t xml:space="preserve">New 2026 surface; you're using it now.</t>
  </si>
  <si>
    <t xml:space="preserve">support.claude.com, claude.com/blog</t>
  </si>
  <si>
    <t xml:space="preserve">Added topics</t>
  </si>
  <si>
    <t xml:space="preserve">Cowork scheduled tasks; live artifacts</t>
  </si>
  <si>
    <t xml:space="preserve">Recurring/one-off automated runs; persistent connector-backed HTML views.</t>
  </si>
  <si>
    <t xml:space="preserve">Core Cowork features the file omitted.</t>
  </si>
  <si>
    <t xml:space="preserve">Claude Code: Plan mode, output styles, permissions &amp; settings.json</t>
  </si>
  <si>
    <t xml:space="preserve">Named items beyond /effort and Auto/Safe mode.</t>
  </si>
  <si>
    <t xml:space="preserve">Real Claude Code controls missing as topics.</t>
  </si>
  <si>
    <t xml:space="preserve">code.claude.com/docs</t>
  </si>
  <si>
    <t xml:space="preserve">@Claude as a Slack team member.</t>
  </si>
  <si>
    <t xml:space="preserve">New 2026 surface.</t>
  </si>
  <si>
    <t xml:space="preserve">anthropic.com/news</t>
  </si>
  <si>
    <t xml:space="preserve">API: 1M GA, interleaved thinking w/ tools, MCP connector in API, platform utility APIs</t>
  </si>
  <si>
    <t xml:space="preserve">Files/Models/Token-counting/Batches/Prompt-tools APIs.</t>
  </si>
  <si>
    <t xml:space="preserve">Platform refinements &amp; explicit APIs.</t>
  </si>
  <si>
    <t xml:space="preserve">platform.claude.com/docs</t>
  </si>
  <si>
    <t xml:space="preserve">Enterprise: marketplaces, Claude for Small Business, Partner Network</t>
  </si>
  <si>
    <t xml:space="preserve">Public + private marketplaces and partner/SMB offerings.</t>
  </si>
  <si>
    <t xml:space="preserve">Procurement/enablement-relevant surfaces.</t>
  </si>
  <si>
    <t xml:space="preserve">anthropic.com/news, claude.com/platform/marketplace</t>
  </si>
  <si>
    <t xml:space="preserve">Corrected</t>
  </si>
  <si>
    <t xml:space="preserve">Long-context / 1M</t>
  </si>
  <si>
    <t xml:space="preserve">Marked 1M context as GA, not beta.</t>
  </si>
  <si>
    <t xml:space="preserve">No longer beta on Opus 4.6/4.8 &amp; Sonnet 4.6.</t>
  </si>
  <si>
    <t xml:space="preserve">Added dated deprecations (Sonnet 4 / Opus 4 retired 15 Jun 2026; Opus 3 retired 5 Jan 2026).</t>
  </si>
  <si>
    <t xml:space="preserve">Keep deprecation facts dated &amp; current.</t>
  </si>
  <si>
    <t xml:space="preserve">Flagged [VERIFY]</t>
  </si>
  <si>
    <t xml:space="preserve">Built-in 'advisor' tool</t>
  </si>
  <si>
    <t xml:space="preserve">Could not confirm in current docs; replaced with 'memory tool' and flagged.</t>
  </si>
  <si>
    <t xml:space="preserve">Possible inaccuracy in the source file.</t>
  </si>
  <si>
    <t xml:space="preserve">SDKs (C#)</t>
  </si>
  <si>
    <t xml:space="preserve">Confirm whether C# is a first-party SDK.</t>
  </si>
  <si>
    <t xml:space="preserve">Unverified in source file.</t>
  </si>
  <si>
    <t xml:space="preserve">Mythos/Fable frontier tier</t>
  </si>
  <si>
    <t xml:space="preserve">Reconfirm exact current name/status ('Claude Mythos Preview' referenced 6/2026).</t>
  </si>
  <si>
    <t xml:space="preserve">Naming likely fluid.</t>
  </si>
  <si>
    <t xml:space="preserve">Reviewed &amp; verified against official docs 26 Jun 2026. Rows tagged [VERIFY] in the tracker need a quick docs check before teaching as fact.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</si>
</sst>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0"/>
      <color rgb="FFC8102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EDEDED"/>
      </patternFill>
    </fill>
    <fill>
      <patternFill patternType="solid">
        <fgColor rgb="FFDCE6F1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DCE6F1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CE4E4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FCE4E4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8102E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2F2F2"/>
      <rgbColor rgb="FFFCE4E4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2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3.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</row>
    <row r="6" customFormat="false" ht="43.5" hidden="false" customHeight="true" outlineLevel="0" collapsed="false">
      <c r="B6" s="3" t="s">
        <v>4</v>
      </c>
      <c r="C6" s="4" t="s">
        <v>5</v>
      </c>
      <c r="D6" s="4"/>
      <c r="E6" s="4"/>
      <c r="F6" s="4"/>
      <c r="G6" s="4"/>
    </row>
    <row r="7" customFormat="false" ht="43.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</row>
    <row r="8" customFormat="false" ht="43.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</row>
    <row r="9" customFormat="false" ht="43.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</row>
    <row r="10" customFormat="false" ht="43.5" hidden="false" customHeight="true" outlineLevel="0" collapsed="false">
      <c r="B10" s="3" t="s">
        <v>12</v>
      </c>
      <c r="C10" s="4" t="s">
        <v>13</v>
      </c>
      <c r="D10" s="4"/>
      <c r="E10" s="4"/>
      <c r="F10" s="4"/>
      <c r="G10" s="4"/>
    </row>
    <row r="11" customFormat="false" ht="43.5" hidden="false" customHeight="true" outlineLevel="0" collapsed="false">
      <c r="B11" s="3" t="s">
        <v>14</v>
      </c>
      <c r="C11" s="4" t="s">
        <v>15</v>
      </c>
      <c r="D11" s="4"/>
      <c r="E11" s="4"/>
      <c r="F11" s="4"/>
      <c r="G11" s="4"/>
    </row>
    <row r="12" customFormat="false" ht="43.5" hidden="false" customHeight="true" outlineLevel="0" collapsed="false">
      <c r="B12" s="3" t="s">
        <v>16</v>
      </c>
      <c r="C12" s="4" t="s">
        <v>17</v>
      </c>
      <c r="D12" s="4"/>
      <c r="E12" s="4"/>
      <c r="F12" s="4"/>
      <c r="G12" s="4"/>
    </row>
    <row r="14" customFormat="false" ht="15" hidden="false" customHeight="false" outlineLevel="0" collapsed="false">
      <c r="B14" s="5" t="s">
        <v>18</v>
      </c>
      <c r="C14" s="6" t="n">
        <f aca="false">COUNTA('Topic Tracker'!D2:D109)</f>
        <v>108</v>
      </c>
    </row>
    <row r="15" customFormat="false" ht="15" hidden="false" customHeight="false" outlineLevel="0" collapsed="false">
      <c r="B15" s="5" t="s">
        <v>19</v>
      </c>
      <c r="C15" s="6" t="n">
        <f aca="false">COUNTA('Training Plan'!B2:B65)</f>
        <v>64</v>
      </c>
    </row>
    <row r="16" customFormat="false" ht="15" hidden="false" customHeight="false" outlineLevel="0" collapsed="false">
      <c r="B16" s="5" t="s">
        <v>20</v>
      </c>
      <c r="C16" s="6" t="n">
        <f aca="false">COUNTIF('Training Plan'!H2:H65,"Built")</f>
        <v>4</v>
      </c>
    </row>
    <row r="17" customFormat="false" ht="15" hidden="false" customHeight="false" outlineLevel="0" collapsed="false">
      <c r="B17" s="5" t="s">
        <v>21</v>
      </c>
      <c r="C17" s="6" t="n">
        <f aca="false">COUNTIF('Topic Tracker'!H2:H109,"Mastered")</f>
        <v>0</v>
      </c>
    </row>
  </sheetData>
  <mergeCells count="8">
    <mergeCell ref="C5:G5"/>
    <mergeCell ref="C6:G6"/>
    <mergeCell ref="C7:G7"/>
    <mergeCell ref="C8:G8"/>
    <mergeCell ref="C9:G9"/>
    <mergeCell ref="C10:G10"/>
    <mergeCell ref="C11:G11"/>
    <mergeCell ref="C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</row>
    <row r="2" customFormat="false" ht="23.85" hidden="false" customHeight="false" outlineLevel="0" collapsed="false">
      <c r="A2" s="8" t="n">
        <v>1</v>
      </c>
      <c r="B2" s="8" t="s">
        <v>31</v>
      </c>
      <c r="C2" s="9" t="s">
        <v>32</v>
      </c>
      <c r="D2" s="10" t="s">
        <v>33</v>
      </c>
      <c r="E2" s="11" t="s">
        <v>34</v>
      </c>
      <c r="F2" s="8" t="n">
        <v>1</v>
      </c>
      <c r="G2" s="8" t="s">
        <v>35</v>
      </c>
      <c r="H2" s="8" t="s">
        <v>36</v>
      </c>
      <c r="I2" s="11" t="s">
        <v>37</v>
      </c>
    </row>
    <row r="3" customFormat="false" ht="23.85" hidden="false" customHeight="false" outlineLevel="0" collapsed="false">
      <c r="A3" s="12" t="n">
        <v>2</v>
      </c>
      <c r="B3" s="12" t="s">
        <v>38</v>
      </c>
      <c r="C3" s="9" t="s">
        <v>32</v>
      </c>
      <c r="D3" s="13" t="s">
        <v>39</v>
      </c>
      <c r="E3" s="14" t="s">
        <v>40</v>
      </c>
      <c r="F3" s="12" t="n">
        <v>1</v>
      </c>
      <c r="G3" s="12" t="s">
        <v>35</v>
      </c>
      <c r="H3" s="12" t="s">
        <v>36</v>
      </c>
      <c r="I3" s="14" t="s">
        <v>41</v>
      </c>
    </row>
    <row r="4" customFormat="false" ht="35.05" hidden="false" customHeight="false" outlineLevel="0" collapsed="false">
      <c r="A4" s="8" t="n">
        <v>3</v>
      </c>
      <c r="B4" s="8" t="s">
        <v>42</v>
      </c>
      <c r="C4" s="9" t="s">
        <v>32</v>
      </c>
      <c r="D4" s="10" t="s">
        <v>43</v>
      </c>
      <c r="E4" s="11" t="s">
        <v>40</v>
      </c>
      <c r="F4" s="8" t="n">
        <v>1</v>
      </c>
      <c r="G4" s="8" t="s">
        <v>35</v>
      </c>
      <c r="H4" s="8" t="s">
        <v>36</v>
      </c>
      <c r="I4" s="11" t="s">
        <v>44</v>
      </c>
    </row>
    <row r="5" customFormat="false" ht="23.85" hidden="false" customHeight="false" outlineLevel="0" collapsed="false">
      <c r="A5" s="12" t="n">
        <v>4</v>
      </c>
      <c r="B5" s="12" t="s">
        <v>45</v>
      </c>
      <c r="C5" s="9" t="s">
        <v>32</v>
      </c>
      <c r="D5" s="13" t="s">
        <v>46</v>
      </c>
      <c r="E5" s="14" t="s">
        <v>40</v>
      </c>
      <c r="F5" s="12" t="n">
        <v>1</v>
      </c>
      <c r="G5" s="12" t="s">
        <v>35</v>
      </c>
      <c r="H5" s="12" t="s">
        <v>36</v>
      </c>
      <c r="I5" s="14" t="s">
        <v>47</v>
      </c>
    </row>
    <row r="6" customFormat="false" ht="35.05" hidden="false" customHeight="false" outlineLevel="0" collapsed="false">
      <c r="A6" s="8" t="n">
        <v>5</v>
      </c>
      <c r="B6" s="8" t="s">
        <v>48</v>
      </c>
      <c r="C6" s="9" t="s">
        <v>32</v>
      </c>
      <c r="D6" s="10" t="s">
        <v>49</v>
      </c>
      <c r="E6" s="11" t="s">
        <v>50</v>
      </c>
      <c r="F6" s="8" t="n">
        <v>8</v>
      </c>
      <c r="G6" s="8" t="s">
        <v>35</v>
      </c>
      <c r="H6" s="8"/>
      <c r="I6" s="11"/>
    </row>
    <row r="7" customFormat="false" ht="15" hidden="false" customHeight="false" outlineLevel="0" collapsed="false">
      <c r="A7" s="12" t="n">
        <v>6</v>
      </c>
      <c r="B7" s="12" t="s">
        <v>51</v>
      </c>
      <c r="C7" s="9" t="s">
        <v>32</v>
      </c>
      <c r="D7" s="13" t="s">
        <v>52</v>
      </c>
      <c r="E7" s="14" t="s">
        <v>53</v>
      </c>
      <c r="F7" s="12" t="n">
        <v>1</v>
      </c>
      <c r="G7" s="12" t="s">
        <v>35</v>
      </c>
      <c r="H7" s="12"/>
      <c r="I7" s="14"/>
    </row>
    <row r="8" customFormat="false" ht="15" hidden="false" customHeight="false" outlineLevel="0" collapsed="false">
      <c r="A8" s="8" t="n">
        <v>7</v>
      </c>
      <c r="B8" s="8" t="s">
        <v>54</v>
      </c>
      <c r="C8" s="15" t="s">
        <v>55</v>
      </c>
      <c r="D8" s="10" t="s">
        <v>56</v>
      </c>
      <c r="E8" s="11" t="s">
        <v>56</v>
      </c>
      <c r="F8" s="8" t="n">
        <v>1</v>
      </c>
      <c r="G8" s="8" t="s">
        <v>35</v>
      </c>
      <c r="H8" s="8"/>
      <c r="I8" s="11"/>
    </row>
    <row r="9" customFormat="false" ht="15" hidden="false" customHeight="false" outlineLevel="0" collapsed="false">
      <c r="A9" s="12" t="n">
        <v>8</v>
      </c>
      <c r="B9" s="12" t="s">
        <v>57</v>
      </c>
      <c r="C9" s="15" t="s">
        <v>55</v>
      </c>
      <c r="D9" s="13" t="s">
        <v>58</v>
      </c>
      <c r="E9" s="14" t="s">
        <v>59</v>
      </c>
      <c r="F9" s="12" t="n">
        <v>2</v>
      </c>
      <c r="G9" s="12" t="s">
        <v>35</v>
      </c>
      <c r="H9" s="12"/>
      <c r="I9" s="14"/>
    </row>
    <row r="10" customFormat="false" ht="15" hidden="false" customHeight="false" outlineLevel="0" collapsed="false">
      <c r="A10" s="8" t="n">
        <v>9</v>
      </c>
      <c r="B10" s="8" t="s">
        <v>60</v>
      </c>
      <c r="C10" s="15" t="s">
        <v>55</v>
      </c>
      <c r="D10" s="10" t="s">
        <v>61</v>
      </c>
      <c r="E10" s="11" t="s">
        <v>62</v>
      </c>
      <c r="F10" s="8" t="n">
        <v>2</v>
      </c>
      <c r="G10" s="8" t="s">
        <v>35</v>
      </c>
      <c r="H10" s="8"/>
      <c r="I10" s="11"/>
    </row>
    <row r="11" customFormat="false" ht="15" hidden="false" customHeight="false" outlineLevel="0" collapsed="false">
      <c r="A11" s="12" t="n">
        <v>10</v>
      </c>
      <c r="B11" s="12" t="s">
        <v>63</v>
      </c>
      <c r="C11" s="15" t="s">
        <v>55</v>
      </c>
      <c r="D11" s="13" t="s">
        <v>64</v>
      </c>
      <c r="E11" s="14" t="s">
        <v>65</v>
      </c>
      <c r="F11" s="12" t="n">
        <v>2</v>
      </c>
      <c r="G11" s="12" t="s">
        <v>35</v>
      </c>
      <c r="H11" s="12"/>
      <c r="I11" s="14"/>
    </row>
    <row r="12" customFormat="false" ht="15" hidden="false" customHeight="false" outlineLevel="0" collapsed="false">
      <c r="A12" s="8" t="n">
        <v>11</v>
      </c>
      <c r="B12" s="8" t="s">
        <v>66</v>
      </c>
      <c r="C12" s="15" t="s">
        <v>55</v>
      </c>
      <c r="D12" s="10" t="s">
        <v>67</v>
      </c>
      <c r="E12" s="11" t="s">
        <v>68</v>
      </c>
      <c r="F12" s="8" t="n">
        <v>2</v>
      </c>
      <c r="G12" s="8" t="s">
        <v>35</v>
      </c>
      <c r="H12" s="8"/>
      <c r="I12" s="11"/>
    </row>
    <row r="13" customFormat="false" ht="15" hidden="false" customHeight="false" outlineLevel="0" collapsed="false">
      <c r="A13" s="12" t="n">
        <v>12</v>
      </c>
      <c r="B13" s="12" t="s">
        <v>69</v>
      </c>
      <c r="C13" s="15" t="s">
        <v>55</v>
      </c>
      <c r="D13" s="13" t="s">
        <v>70</v>
      </c>
      <c r="E13" s="14" t="s">
        <v>71</v>
      </c>
      <c r="F13" s="12" t="n">
        <v>2</v>
      </c>
      <c r="G13" s="12" t="s">
        <v>35</v>
      </c>
      <c r="H13" s="12"/>
      <c r="I13" s="14"/>
    </row>
    <row r="14" customFormat="false" ht="15" hidden="false" customHeight="false" outlineLevel="0" collapsed="false">
      <c r="A14" s="8" t="n">
        <v>13</v>
      </c>
      <c r="B14" s="8" t="s">
        <v>72</v>
      </c>
      <c r="C14" s="15" t="s">
        <v>55</v>
      </c>
      <c r="D14" s="10" t="s">
        <v>73</v>
      </c>
      <c r="E14" s="11" t="s">
        <v>74</v>
      </c>
      <c r="F14" s="8" t="n">
        <v>1</v>
      </c>
      <c r="G14" s="8" t="s">
        <v>35</v>
      </c>
      <c r="H14" s="8"/>
      <c r="I14" s="11"/>
    </row>
    <row r="15" customFormat="false" ht="15" hidden="false" customHeight="false" outlineLevel="0" collapsed="false">
      <c r="A15" s="12" t="n">
        <v>14</v>
      </c>
      <c r="B15" s="12" t="s">
        <v>75</v>
      </c>
      <c r="C15" s="15" t="s">
        <v>55</v>
      </c>
      <c r="D15" s="13" t="s">
        <v>76</v>
      </c>
      <c r="E15" s="14" t="s">
        <v>77</v>
      </c>
      <c r="F15" s="12" t="n">
        <v>2</v>
      </c>
      <c r="G15" s="12" t="s">
        <v>35</v>
      </c>
      <c r="H15" s="12"/>
      <c r="I15" s="14"/>
    </row>
    <row r="16" customFormat="false" ht="15" hidden="false" customHeight="false" outlineLevel="0" collapsed="false">
      <c r="A16" s="8" t="n">
        <v>15</v>
      </c>
      <c r="B16" s="8" t="s">
        <v>78</v>
      </c>
      <c r="C16" s="15" t="s">
        <v>55</v>
      </c>
      <c r="D16" s="10" t="s">
        <v>79</v>
      </c>
      <c r="E16" s="11" t="s">
        <v>80</v>
      </c>
      <c r="F16" s="8" t="n">
        <v>2</v>
      </c>
      <c r="G16" s="8" t="s">
        <v>35</v>
      </c>
      <c r="H16" s="8"/>
      <c r="I16" s="11"/>
    </row>
    <row r="17" customFormat="false" ht="23.85" hidden="false" customHeight="false" outlineLevel="0" collapsed="false">
      <c r="A17" s="12" t="n">
        <v>16</v>
      </c>
      <c r="B17" s="12" t="s">
        <v>81</v>
      </c>
      <c r="C17" s="15" t="s">
        <v>55</v>
      </c>
      <c r="D17" s="13" t="s">
        <v>82</v>
      </c>
      <c r="E17" s="14" t="s">
        <v>83</v>
      </c>
      <c r="F17" s="12" t="n">
        <v>3</v>
      </c>
      <c r="G17" s="12" t="s">
        <v>35</v>
      </c>
      <c r="H17" s="12"/>
      <c r="I17" s="14"/>
    </row>
    <row r="18" customFormat="false" ht="23.85" hidden="false" customHeight="false" outlineLevel="0" collapsed="false">
      <c r="A18" s="8" t="n">
        <v>17</v>
      </c>
      <c r="B18" s="8" t="s">
        <v>84</v>
      </c>
      <c r="C18" s="15" t="s">
        <v>55</v>
      </c>
      <c r="D18" s="10" t="s">
        <v>85</v>
      </c>
      <c r="E18" s="11" t="s">
        <v>86</v>
      </c>
      <c r="F18" s="8" t="n">
        <v>4</v>
      </c>
      <c r="G18" s="8" t="s">
        <v>35</v>
      </c>
      <c r="H18" s="8"/>
      <c r="I18" s="11"/>
    </row>
    <row r="19" customFormat="false" ht="15" hidden="false" customHeight="false" outlineLevel="0" collapsed="false">
      <c r="A19" s="12" t="n">
        <v>18</v>
      </c>
      <c r="B19" s="12" t="s">
        <v>87</v>
      </c>
      <c r="C19" s="15" t="s">
        <v>55</v>
      </c>
      <c r="D19" s="13" t="s">
        <v>88</v>
      </c>
      <c r="E19" s="14" t="s">
        <v>89</v>
      </c>
      <c r="F19" s="12" t="n">
        <v>2</v>
      </c>
      <c r="G19" s="12" t="s">
        <v>35</v>
      </c>
      <c r="H19" s="12"/>
      <c r="I19" s="14"/>
    </row>
    <row r="20" customFormat="false" ht="15" hidden="false" customHeight="false" outlineLevel="0" collapsed="false">
      <c r="A20" s="8" t="n">
        <v>19</v>
      </c>
      <c r="B20" s="8" t="s">
        <v>90</v>
      </c>
      <c r="C20" s="16" t="s">
        <v>91</v>
      </c>
      <c r="D20" s="10" t="s">
        <v>92</v>
      </c>
      <c r="E20" s="11" t="s">
        <v>93</v>
      </c>
      <c r="F20" s="8" t="n">
        <v>1</v>
      </c>
      <c r="G20" s="8" t="s">
        <v>35</v>
      </c>
      <c r="H20" s="8"/>
      <c r="I20" s="11"/>
    </row>
    <row r="21" customFormat="false" ht="15" hidden="false" customHeight="false" outlineLevel="0" collapsed="false">
      <c r="A21" s="12" t="n">
        <v>20</v>
      </c>
      <c r="B21" s="12" t="s">
        <v>94</v>
      </c>
      <c r="C21" s="16" t="s">
        <v>91</v>
      </c>
      <c r="D21" s="13" t="s">
        <v>95</v>
      </c>
      <c r="E21" s="14" t="s">
        <v>93</v>
      </c>
      <c r="F21" s="12" t="n">
        <v>1</v>
      </c>
      <c r="G21" s="12" t="s">
        <v>35</v>
      </c>
      <c r="H21" s="12"/>
      <c r="I21" s="14"/>
    </row>
    <row r="22" customFormat="false" ht="15" hidden="false" customHeight="false" outlineLevel="0" collapsed="false">
      <c r="A22" s="8" t="n">
        <v>21</v>
      </c>
      <c r="B22" s="8" t="s">
        <v>96</v>
      </c>
      <c r="C22" s="16" t="s">
        <v>91</v>
      </c>
      <c r="D22" s="10" t="s">
        <v>97</v>
      </c>
      <c r="E22" s="11" t="s">
        <v>98</v>
      </c>
      <c r="F22" s="8" t="n">
        <v>2</v>
      </c>
      <c r="G22" s="8" t="s">
        <v>35</v>
      </c>
      <c r="H22" s="8"/>
      <c r="I22" s="11"/>
    </row>
    <row r="23" customFormat="false" ht="23.85" hidden="false" customHeight="false" outlineLevel="0" collapsed="false">
      <c r="A23" s="12" t="n">
        <v>22</v>
      </c>
      <c r="B23" s="12" t="s">
        <v>99</v>
      </c>
      <c r="C23" s="16" t="s">
        <v>91</v>
      </c>
      <c r="D23" s="13" t="s">
        <v>100</v>
      </c>
      <c r="E23" s="14" t="s">
        <v>101</v>
      </c>
      <c r="F23" s="12" t="n">
        <v>4</v>
      </c>
      <c r="G23" s="12" t="s">
        <v>35</v>
      </c>
      <c r="H23" s="12"/>
      <c r="I23" s="14"/>
    </row>
    <row r="24" customFormat="false" ht="15" hidden="false" customHeight="false" outlineLevel="0" collapsed="false">
      <c r="A24" s="8" t="n">
        <v>23</v>
      </c>
      <c r="B24" s="8" t="s">
        <v>102</v>
      </c>
      <c r="C24" s="16" t="s">
        <v>91</v>
      </c>
      <c r="D24" s="10" t="s">
        <v>103</v>
      </c>
      <c r="E24" s="11" t="s">
        <v>104</v>
      </c>
      <c r="F24" s="8" t="n">
        <v>1</v>
      </c>
      <c r="G24" s="8" t="s">
        <v>35</v>
      </c>
      <c r="H24" s="8"/>
      <c r="I24" s="11"/>
    </row>
    <row r="25" customFormat="false" ht="23.85" hidden="false" customHeight="false" outlineLevel="0" collapsed="false">
      <c r="A25" s="12" t="n">
        <v>24</v>
      </c>
      <c r="B25" s="12" t="s">
        <v>105</v>
      </c>
      <c r="C25" s="16" t="s">
        <v>91</v>
      </c>
      <c r="D25" s="13" t="s">
        <v>106</v>
      </c>
      <c r="E25" s="14" t="s">
        <v>107</v>
      </c>
      <c r="F25" s="12" t="n">
        <v>2</v>
      </c>
      <c r="G25" s="12" t="s">
        <v>35</v>
      </c>
      <c r="H25" s="12"/>
      <c r="I25" s="14"/>
    </row>
    <row r="26" customFormat="false" ht="15" hidden="false" customHeight="false" outlineLevel="0" collapsed="false">
      <c r="A26" s="8" t="n">
        <v>25</v>
      </c>
      <c r="B26" s="8" t="s">
        <v>108</v>
      </c>
      <c r="C26" s="16" t="s">
        <v>91</v>
      </c>
      <c r="D26" s="10" t="s">
        <v>109</v>
      </c>
      <c r="E26" s="11" t="s">
        <v>109</v>
      </c>
      <c r="F26" s="8" t="n">
        <v>1</v>
      </c>
      <c r="G26" s="8" t="s">
        <v>35</v>
      </c>
      <c r="H26" s="8"/>
      <c r="I26" s="11"/>
    </row>
    <row r="27" customFormat="false" ht="15" hidden="false" customHeight="false" outlineLevel="0" collapsed="false">
      <c r="A27" s="12" t="n">
        <v>26</v>
      </c>
      <c r="B27" s="12" t="s">
        <v>110</v>
      </c>
      <c r="C27" s="16" t="s">
        <v>91</v>
      </c>
      <c r="D27" s="13" t="s">
        <v>111</v>
      </c>
      <c r="E27" s="14" t="s">
        <v>111</v>
      </c>
      <c r="F27" s="12" t="n">
        <v>1</v>
      </c>
      <c r="G27" s="12" t="s">
        <v>35</v>
      </c>
      <c r="H27" s="12"/>
      <c r="I27" s="14"/>
    </row>
    <row r="28" customFormat="false" ht="15" hidden="false" customHeight="false" outlineLevel="0" collapsed="false">
      <c r="A28" s="8" t="n">
        <v>27</v>
      </c>
      <c r="B28" s="8" t="s">
        <v>112</v>
      </c>
      <c r="C28" s="16" t="s">
        <v>91</v>
      </c>
      <c r="D28" s="10" t="s">
        <v>113</v>
      </c>
      <c r="E28" s="11" t="s">
        <v>113</v>
      </c>
      <c r="F28" s="8" t="n">
        <v>1</v>
      </c>
      <c r="G28" s="8" t="s">
        <v>35</v>
      </c>
      <c r="H28" s="8"/>
      <c r="I28" s="11"/>
    </row>
    <row r="29" customFormat="false" ht="15" hidden="false" customHeight="false" outlineLevel="0" collapsed="false">
      <c r="A29" s="12" t="n">
        <v>28</v>
      </c>
      <c r="B29" s="12" t="s">
        <v>114</v>
      </c>
      <c r="C29" s="16" t="s">
        <v>91</v>
      </c>
      <c r="D29" s="13" t="s">
        <v>115</v>
      </c>
      <c r="E29" s="14" t="s">
        <v>115</v>
      </c>
      <c r="F29" s="12" t="n">
        <v>1</v>
      </c>
      <c r="G29" s="12" t="s">
        <v>35</v>
      </c>
      <c r="H29" s="12"/>
      <c r="I29" s="14"/>
    </row>
    <row r="30" customFormat="false" ht="15" hidden="false" customHeight="false" outlineLevel="0" collapsed="false">
      <c r="A30" s="8" t="n">
        <v>29</v>
      </c>
      <c r="B30" s="8" t="s">
        <v>116</v>
      </c>
      <c r="C30" s="16" t="s">
        <v>91</v>
      </c>
      <c r="D30" s="10" t="s">
        <v>117</v>
      </c>
      <c r="E30" s="11" t="s">
        <v>118</v>
      </c>
      <c r="F30" s="8" t="n">
        <v>2</v>
      </c>
      <c r="G30" s="8" t="s">
        <v>35</v>
      </c>
      <c r="H30" s="8"/>
      <c r="I30" s="11"/>
    </row>
    <row r="31" customFormat="false" ht="15" hidden="false" customHeight="false" outlineLevel="0" collapsed="false">
      <c r="A31" s="12" t="n">
        <v>30</v>
      </c>
      <c r="B31" s="12" t="s">
        <v>119</v>
      </c>
      <c r="C31" s="17" t="s">
        <v>120</v>
      </c>
      <c r="D31" s="13" t="s">
        <v>121</v>
      </c>
      <c r="E31" s="14" t="s">
        <v>122</v>
      </c>
      <c r="F31" s="12" t="n">
        <v>2</v>
      </c>
      <c r="G31" s="12" t="s">
        <v>35</v>
      </c>
      <c r="H31" s="12"/>
      <c r="I31" s="14"/>
    </row>
    <row r="32" customFormat="false" ht="15" hidden="false" customHeight="false" outlineLevel="0" collapsed="false">
      <c r="A32" s="8" t="n">
        <v>31</v>
      </c>
      <c r="B32" s="8" t="s">
        <v>123</v>
      </c>
      <c r="C32" s="17" t="s">
        <v>120</v>
      </c>
      <c r="D32" s="10" t="s">
        <v>124</v>
      </c>
      <c r="E32" s="11" t="s">
        <v>125</v>
      </c>
      <c r="F32" s="8" t="n">
        <v>2</v>
      </c>
      <c r="G32" s="8" t="s">
        <v>35</v>
      </c>
      <c r="H32" s="8"/>
      <c r="I32" s="11"/>
    </row>
    <row r="33" customFormat="false" ht="23.85" hidden="false" customHeight="false" outlineLevel="0" collapsed="false">
      <c r="A33" s="12" t="n">
        <v>32</v>
      </c>
      <c r="B33" s="12" t="s">
        <v>126</v>
      </c>
      <c r="C33" s="17" t="s">
        <v>120</v>
      </c>
      <c r="D33" s="13" t="s">
        <v>127</v>
      </c>
      <c r="E33" s="14" t="s">
        <v>128</v>
      </c>
      <c r="F33" s="12" t="n">
        <v>3</v>
      </c>
      <c r="G33" s="12" t="s">
        <v>35</v>
      </c>
      <c r="H33" s="12"/>
      <c r="I33" s="14"/>
    </row>
    <row r="34" customFormat="false" ht="23.85" hidden="false" customHeight="false" outlineLevel="0" collapsed="false">
      <c r="A34" s="8" t="n">
        <v>33</v>
      </c>
      <c r="B34" s="8" t="s">
        <v>129</v>
      </c>
      <c r="C34" s="17" t="s">
        <v>120</v>
      </c>
      <c r="D34" s="10" t="s">
        <v>130</v>
      </c>
      <c r="E34" s="11" t="s">
        <v>131</v>
      </c>
      <c r="F34" s="8" t="n">
        <v>2</v>
      </c>
      <c r="G34" s="8" t="s">
        <v>35</v>
      </c>
      <c r="H34" s="8"/>
      <c r="I34" s="11"/>
    </row>
    <row r="35" customFormat="false" ht="23.85" hidden="false" customHeight="false" outlineLevel="0" collapsed="false">
      <c r="A35" s="12" t="n">
        <v>34</v>
      </c>
      <c r="B35" s="12" t="s">
        <v>132</v>
      </c>
      <c r="C35" s="17" t="s">
        <v>120</v>
      </c>
      <c r="D35" s="13" t="s">
        <v>133</v>
      </c>
      <c r="E35" s="14" t="s">
        <v>134</v>
      </c>
      <c r="F35" s="12" t="n">
        <v>2</v>
      </c>
      <c r="G35" s="12" t="s">
        <v>35</v>
      </c>
      <c r="H35" s="12"/>
      <c r="I35" s="14"/>
    </row>
    <row r="36" customFormat="false" ht="15" hidden="false" customHeight="false" outlineLevel="0" collapsed="false">
      <c r="A36" s="8" t="n">
        <v>35</v>
      </c>
      <c r="B36" s="8" t="s">
        <v>135</v>
      </c>
      <c r="C36" s="17" t="s">
        <v>120</v>
      </c>
      <c r="D36" s="10" t="s">
        <v>136</v>
      </c>
      <c r="E36" s="11" t="s">
        <v>137</v>
      </c>
      <c r="F36" s="8" t="n">
        <v>2</v>
      </c>
      <c r="G36" s="8" t="s">
        <v>35</v>
      </c>
      <c r="H36" s="8"/>
      <c r="I36" s="11"/>
    </row>
    <row r="37" customFormat="false" ht="15" hidden="false" customHeight="false" outlineLevel="0" collapsed="false">
      <c r="A37" s="12" t="n">
        <v>36</v>
      </c>
      <c r="B37" s="12" t="s">
        <v>138</v>
      </c>
      <c r="C37" s="17" t="s">
        <v>120</v>
      </c>
      <c r="D37" s="13" t="s">
        <v>139</v>
      </c>
      <c r="E37" s="14" t="s">
        <v>140</v>
      </c>
      <c r="F37" s="12" t="n">
        <v>2</v>
      </c>
      <c r="G37" s="12" t="s">
        <v>35</v>
      </c>
      <c r="H37" s="12"/>
      <c r="I37" s="14"/>
    </row>
    <row r="38" customFormat="false" ht="15" hidden="false" customHeight="false" outlineLevel="0" collapsed="false">
      <c r="A38" s="8" t="n">
        <v>37</v>
      </c>
      <c r="B38" s="8" t="s">
        <v>141</v>
      </c>
      <c r="C38" s="17" t="s">
        <v>120</v>
      </c>
      <c r="D38" s="10" t="s">
        <v>142</v>
      </c>
      <c r="E38" s="11" t="s">
        <v>143</v>
      </c>
      <c r="F38" s="8" t="n">
        <v>1</v>
      </c>
      <c r="G38" s="8" t="s">
        <v>35</v>
      </c>
      <c r="H38" s="8"/>
      <c r="I38" s="11"/>
    </row>
    <row r="39" customFormat="false" ht="15" hidden="false" customHeight="false" outlineLevel="0" collapsed="false">
      <c r="A39" s="12" t="n">
        <v>38</v>
      </c>
      <c r="B39" s="12" t="s">
        <v>144</v>
      </c>
      <c r="C39" s="17" t="s">
        <v>120</v>
      </c>
      <c r="D39" s="13" t="s">
        <v>145</v>
      </c>
      <c r="E39" s="14" t="s">
        <v>146</v>
      </c>
      <c r="F39" s="12" t="n">
        <v>1</v>
      </c>
      <c r="G39" s="12" t="s">
        <v>35</v>
      </c>
      <c r="H39" s="12"/>
      <c r="I39" s="14"/>
    </row>
    <row r="40" customFormat="false" ht="23.85" hidden="false" customHeight="false" outlineLevel="0" collapsed="false">
      <c r="A40" s="8" t="n">
        <v>39</v>
      </c>
      <c r="B40" s="8" t="s">
        <v>147</v>
      </c>
      <c r="C40" s="17" t="s">
        <v>120</v>
      </c>
      <c r="D40" s="10" t="s">
        <v>148</v>
      </c>
      <c r="E40" s="11" t="s">
        <v>149</v>
      </c>
      <c r="F40" s="8" t="n">
        <v>3</v>
      </c>
      <c r="G40" s="8" t="s">
        <v>35</v>
      </c>
      <c r="H40" s="8"/>
      <c r="I40" s="11"/>
    </row>
    <row r="41" customFormat="false" ht="15" hidden="false" customHeight="false" outlineLevel="0" collapsed="false">
      <c r="A41" s="12" t="n">
        <v>40</v>
      </c>
      <c r="B41" s="12" t="s">
        <v>150</v>
      </c>
      <c r="C41" s="17" t="s">
        <v>120</v>
      </c>
      <c r="D41" s="13" t="s">
        <v>151</v>
      </c>
      <c r="E41" s="14" t="s">
        <v>152</v>
      </c>
      <c r="F41" s="12" t="n">
        <v>1</v>
      </c>
      <c r="G41" s="12" t="s">
        <v>35</v>
      </c>
      <c r="H41" s="12"/>
      <c r="I41" s="14"/>
    </row>
    <row r="42" customFormat="false" ht="15" hidden="false" customHeight="false" outlineLevel="0" collapsed="false">
      <c r="A42" s="8" t="n">
        <v>41</v>
      </c>
      <c r="B42" s="8" t="s">
        <v>153</v>
      </c>
      <c r="C42" s="17" t="s">
        <v>120</v>
      </c>
      <c r="D42" s="10" t="s">
        <v>154</v>
      </c>
      <c r="E42" s="11" t="s">
        <v>155</v>
      </c>
      <c r="F42" s="8" t="n">
        <v>2</v>
      </c>
      <c r="G42" s="8" t="s">
        <v>35</v>
      </c>
      <c r="H42" s="8"/>
      <c r="I42" s="11"/>
    </row>
    <row r="43" customFormat="false" ht="15" hidden="false" customHeight="false" outlineLevel="0" collapsed="false">
      <c r="A43" s="12" t="n">
        <v>42</v>
      </c>
      <c r="B43" s="12" t="s">
        <v>156</v>
      </c>
      <c r="C43" s="17" t="s">
        <v>120</v>
      </c>
      <c r="D43" s="13" t="s">
        <v>157</v>
      </c>
      <c r="E43" s="14" t="s">
        <v>158</v>
      </c>
      <c r="F43" s="12" t="n">
        <v>2</v>
      </c>
      <c r="G43" s="12" t="s">
        <v>35</v>
      </c>
      <c r="H43" s="12"/>
      <c r="I43" s="14"/>
    </row>
    <row r="44" customFormat="false" ht="15" hidden="false" customHeight="false" outlineLevel="0" collapsed="false">
      <c r="A44" s="8" t="n">
        <v>43</v>
      </c>
      <c r="B44" s="8" t="s">
        <v>159</v>
      </c>
      <c r="C44" s="17" t="s">
        <v>120</v>
      </c>
      <c r="D44" s="10" t="s">
        <v>160</v>
      </c>
      <c r="E44" s="11" t="s">
        <v>161</v>
      </c>
      <c r="F44" s="8" t="n">
        <v>1</v>
      </c>
      <c r="G44" s="8" t="s">
        <v>35</v>
      </c>
      <c r="H44" s="8"/>
      <c r="I44" s="11"/>
    </row>
    <row r="45" customFormat="false" ht="23.85" hidden="false" customHeight="false" outlineLevel="0" collapsed="false">
      <c r="A45" s="12" t="n">
        <v>44</v>
      </c>
      <c r="B45" s="12" t="s">
        <v>162</v>
      </c>
      <c r="C45" s="17" t="s">
        <v>120</v>
      </c>
      <c r="D45" s="13" t="s">
        <v>163</v>
      </c>
      <c r="E45" s="14" t="s">
        <v>164</v>
      </c>
      <c r="F45" s="12" t="n">
        <v>3</v>
      </c>
      <c r="G45" s="12" t="s">
        <v>35</v>
      </c>
      <c r="H45" s="12"/>
      <c r="I45" s="14"/>
    </row>
    <row r="46" customFormat="false" ht="15" hidden="false" customHeight="false" outlineLevel="0" collapsed="false">
      <c r="A46" s="8" t="n">
        <v>45</v>
      </c>
      <c r="B46" s="8" t="s">
        <v>165</v>
      </c>
      <c r="C46" s="17" t="s">
        <v>120</v>
      </c>
      <c r="D46" s="10" t="s">
        <v>166</v>
      </c>
      <c r="E46" s="11" t="s">
        <v>167</v>
      </c>
      <c r="F46" s="8" t="n">
        <v>1</v>
      </c>
      <c r="G46" s="8" t="s">
        <v>35</v>
      </c>
      <c r="H46" s="8"/>
      <c r="I46" s="11"/>
    </row>
    <row r="47" customFormat="false" ht="15" hidden="false" customHeight="false" outlineLevel="0" collapsed="false">
      <c r="A47" s="12" t="n">
        <v>46</v>
      </c>
      <c r="B47" s="12" t="s">
        <v>168</v>
      </c>
      <c r="C47" s="17" t="s">
        <v>120</v>
      </c>
      <c r="D47" s="13" t="s">
        <v>169</v>
      </c>
      <c r="E47" s="14" t="s">
        <v>169</v>
      </c>
      <c r="F47" s="12" t="n">
        <v>1</v>
      </c>
      <c r="G47" s="12" t="s">
        <v>35</v>
      </c>
      <c r="H47" s="12"/>
      <c r="I47" s="14"/>
    </row>
    <row r="48" customFormat="false" ht="15" hidden="false" customHeight="false" outlineLevel="0" collapsed="false">
      <c r="A48" s="8" t="n">
        <v>47</v>
      </c>
      <c r="B48" s="8" t="s">
        <v>170</v>
      </c>
      <c r="C48" s="17" t="s">
        <v>120</v>
      </c>
      <c r="D48" s="10" t="s">
        <v>171</v>
      </c>
      <c r="E48" s="11" t="s">
        <v>171</v>
      </c>
      <c r="F48" s="8" t="n">
        <v>1</v>
      </c>
      <c r="G48" s="8" t="s">
        <v>35</v>
      </c>
      <c r="H48" s="8"/>
      <c r="I48" s="11"/>
    </row>
    <row r="49" customFormat="false" ht="15" hidden="false" customHeight="false" outlineLevel="0" collapsed="false">
      <c r="A49" s="12" t="n">
        <v>48</v>
      </c>
      <c r="B49" s="12" t="s">
        <v>172</v>
      </c>
      <c r="C49" s="17" t="s">
        <v>120</v>
      </c>
      <c r="D49" s="13" t="s">
        <v>173</v>
      </c>
      <c r="E49" s="14" t="s">
        <v>174</v>
      </c>
      <c r="F49" s="12" t="n">
        <v>2</v>
      </c>
      <c r="G49" s="12" t="s">
        <v>35</v>
      </c>
      <c r="H49" s="12"/>
      <c r="I49" s="14"/>
    </row>
    <row r="50" customFormat="false" ht="15" hidden="false" customHeight="false" outlineLevel="0" collapsed="false">
      <c r="A50" s="8" t="n">
        <v>49</v>
      </c>
      <c r="B50" s="8" t="s">
        <v>175</v>
      </c>
      <c r="C50" s="18" t="s">
        <v>176</v>
      </c>
      <c r="D50" s="10" t="s">
        <v>177</v>
      </c>
      <c r="E50" s="11" t="s">
        <v>178</v>
      </c>
      <c r="F50" s="8" t="n">
        <v>1</v>
      </c>
      <c r="G50" s="8" t="s">
        <v>35</v>
      </c>
      <c r="H50" s="8"/>
      <c r="I50" s="11"/>
    </row>
    <row r="51" customFormat="false" ht="23.85" hidden="false" customHeight="false" outlineLevel="0" collapsed="false">
      <c r="A51" s="12" t="n">
        <v>50</v>
      </c>
      <c r="B51" s="12" t="s">
        <v>179</v>
      </c>
      <c r="C51" s="18" t="s">
        <v>176</v>
      </c>
      <c r="D51" s="13" t="s">
        <v>180</v>
      </c>
      <c r="E51" s="14" t="s">
        <v>181</v>
      </c>
      <c r="F51" s="12" t="n">
        <v>2</v>
      </c>
      <c r="G51" s="12" t="s">
        <v>35</v>
      </c>
      <c r="H51" s="12"/>
      <c r="I51" s="14"/>
    </row>
    <row r="52" customFormat="false" ht="15" hidden="false" customHeight="false" outlineLevel="0" collapsed="false">
      <c r="A52" s="8" t="n">
        <v>51</v>
      </c>
      <c r="B52" s="8" t="s">
        <v>182</v>
      </c>
      <c r="C52" s="18" t="s">
        <v>176</v>
      </c>
      <c r="D52" s="10" t="s">
        <v>183</v>
      </c>
      <c r="E52" s="11" t="s">
        <v>184</v>
      </c>
      <c r="F52" s="8" t="n">
        <v>1</v>
      </c>
      <c r="G52" s="8" t="s">
        <v>35</v>
      </c>
      <c r="H52" s="8"/>
      <c r="I52" s="11"/>
    </row>
    <row r="53" customFormat="false" ht="15" hidden="false" customHeight="false" outlineLevel="0" collapsed="false">
      <c r="A53" s="12" t="n">
        <v>52</v>
      </c>
      <c r="B53" s="12" t="s">
        <v>185</v>
      </c>
      <c r="C53" s="18" t="s">
        <v>176</v>
      </c>
      <c r="D53" s="13" t="s">
        <v>186</v>
      </c>
      <c r="E53" s="14" t="s">
        <v>187</v>
      </c>
      <c r="F53" s="12" t="n">
        <v>2</v>
      </c>
      <c r="G53" s="12" t="s">
        <v>35</v>
      </c>
      <c r="H53" s="12"/>
      <c r="I53" s="14"/>
    </row>
    <row r="54" customFormat="false" ht="15" hidden="false" customHeight="false" outlineLevel="0" collapsed="false">
      <c r="A54" s="8" t="n">
        <v>53</v>
      </c>
      <c r="B54" s="8" t="s">
        <v>188</v>
      </c>
      <c r="C54" s="18" t="s">
        <v>176</v>
      </c>
      <c r="D54" s="10" t="s">
        <v>189</v>
      </c>
      <c r="E54" s="11" t="s">
        <v>190</v>
      </c>
      <c r="F54" s="8" t="n">
        <v>1</v>
      </c>
      <c r="G54" s="8" t="s">
        <v>35</v>
      </c>
      <c r="H54" s="8"/>
      <c r="I54" s="11"/>
    </row>
    <row r="55" customFormat="false" ht="15" hidden="false" customHeight="false" outlineLevel="0" collapsed="false">
      <c r="A55" s="12" t="n">
        <v>54</v>
      </c>
      <c r="B55" s="12" t="s">
        <v>191</v>
      </c>
      <c r="C55" s="18" t="s">
        <v>176</v>
      </c>
      <c r="D55" s="13" t="s">
        <v>192</v>
      </c>
      <c r="E55" s="14" t="s">
        <v>193</v>
      </c>
      <c r="F55" s="12" t="n">
        <v>1</v>
      </c>
      <c r="G55" s="12" t="s">
        <v>35</v>
      </c>
      <c r="H55" s="12"/>
      <c r="I55" s="14"/>
    </row>
    <row r="56" customFormat="false" ht="15" hidden="false" customHeight="false" outlineLevel="0" collapsed="false">
      <c r="A56" s="8" t="n">
        <v>55</v>
      </c>
      <c r="B56" s="8" t="s">
        <v>194</v>
      </c>
      <c r="C56" s="18" t="s">
        <v>176</v>
      </c>
      <c r="D56" s="10" t="s">
        <v>195</v>
      </c>
      <c r="E56" s="11" t="s">
        <v>196</v>
      </c>
      <c r="F56" s="8" t="n">
        <v>1</v>
      </c>
      <c r="G56" s="8" t="s">
        <v>35</v>
      </c>
      <c r="H56" s="8"/>
      <c r="I56" s="11"/>
    </row>
    <row r="57" customFormat="false" ht="15" hidden="false" customHeight="false" outlineLevel="0" collapsed="false">
      <c r="A57" s="12" t="n">
        <v>56</v>
      </c>
      <c r="B57" s="12" t="s">
        <v>197</v>
      </c>
      <c r="C57" s="18" t="s">
        <v>176</v>
      </c>
      <c r="D57" s="13" t="s">
        <v>198</v>
      </c>
      <c r="E57" s="14" t="s">
        <v>199</v>
      </c>
      <c r="F57" s="12" t="n">
        <v>1</v>
      </c>
      <c r="G57" s="12" t="s">
        <v>35</v>
      </c>
      <c r="H57" s="12"/>
      <c r="I57" s="14"/>
    </row>
    <row r="58" customFormat="false" ht="15" hidden="false" customHeight="false" outlineLevel="0" collapsed="false">
      <c r="A58" s="8" t="n">
        <v>57</v>
      </c>
      <c r="B58" s="8" t="s">
        <v>200</v>
      </c>
      <c r="C58" s="19" t="s">
        <v>201</v>
      </c>
      <c r="D58" s="10" t="s">
        <v>202</v>
      </c>
      <c r="E58" s="11" t="s">
        <v>203</v>
      </c>
      <c r="F58" s="8" t="n">
        <v>1</v>
      </c>
      <c r="G58" s="8" t="s">
        <v>35</v>
      </c>
      <c r="H58" s="8"/>
      <c r="I58" s="11"/>
    </row>
    <row r="59" customFormat="false" ht="15" hidden="false" customHeight="false" outlineLevel="0" collapsed="false">
      <c r="A59" s="12" t="n">
        <v>58</v>
      </c>
      <c r="B59" s="12" t="s">
        <v>204</v>
      </c>
      <c r="C59" s="19" t="s">
        <v>201</v>
      </c>
      <c r="D59" s="13" t="s">
        <v>205</v>
      </c>
      <c r="E59" s="14" t="s">
        <v>206</v>
      </c>
      <c r="F59" s="12" t="n">
        <v>1</v>
      </c>
      <c r="G59" s="12" t="s">
        <v>35</v>
      </c>
      <c r="H59" s="12"/>
      <c r="I59" s="14"/>
    </row>
    <row r="60" customFormat="false" ht="23.85" hidden="false" customHeight="false" outlineLevel="0" collapsed="false">
      <c r="A60" s="8" t="n">
        <v>59</v>
      </c>
      <c r="B60" s="8" t="s">
        <v>207</v>
      </c>
      <c r="C60" s="19" t="s">
        <v>201</v>
      </c>
      <c r="D60" s="10" t="s">
        <v>208</v>
      </c>
      <c r="E60" s="11" t="s">
        <v>209</v>
      </c>
      <c r="F60" s="8" t="n">
        <v>2</v>
      </c>
      <c r="G60" s="8" t="s">
        <v>35</v>
      </c>
      <c r="H60" s="8"/>
      <c r="I60" s="11"/>
    </row>
    <row r="61" customFormat="false" ht="15" hidden="false" customHeight="false" outlineLevel="0" collapsed="false">
      <c r="A61" s="12" t="n">
        <v>60</v>
      </c>
      <c r="B61" s="12" t="s">
        <v>210</v>
      </c>
      <c r="C61" s="19" t="s">
        <v>201</v>
      </c>
      <c r="D61" s="13" t="s">
        <v>211</v>
      </c>
      <c r="E61" s="14" t="s">
        <v>212</v>
      </c>
      <c r="F61" s="12" t="n">
        <v>1</v>
      </c>
      <c r="G61" s="12" t="s">
        <v>35</v>
      </c>
      <c r="H61" s="12"/>
      <c r="I61" s="14"/>
    </row>
    <row r="62" customFormat="false" ht="15" hidden="false" customHeight="false" outlineLevel="0" collapsed="false">
      <c r="A62" s="8" t="n">
        <v>61</v>
      </c>
      <c r="B62" s="8" t="s">
        <v>213</v>
      </c>
      <c r="C62" s="19" t="s">
        <v>201</v>
      </c>
      <c r="D62" s="10" t="s">
        <v>214</v>
      </c>
      <c r="E62" s="11" t="s">
        <v>215</v>
      </c>
      <c r="F62" s="8" t="n">
        <v>1</v>
      </c>
      <c r="G62" s="8" t="s">
        <v>35</v>
      </c>
      <c r="H62" s="8"/>
      <c r="I62" s="11"/>
    </row>
    <row r="63" customFormat="false" ht="15" hidden="false" customHeight="false" outlineLevel="0" collapsed="false">
      <c r="A63" s="12" t="n">
        <v>62</v>
      </c>
      <c r="B63" s="12" t="s">
        <v>216</v>
      </c>
      <c r="C63" s="19" t="s">
        <v>201</v>
      </c>
      <c r="D63" s="13" t="s">
        <v>217</v>
      </c>
      <c r="E63" s="14" t="s">
        <v>218</v>
      </c>
      <c r="F63" s="12" t="n">
        <v>1</v>
      </c>
      <c r="G63" s="12" t="s">
        <v>35</v>
      </c>
      <c r="H63" s="12"/>
      <c r="I63" s="14"/>
    </row>
    <row r="64" customFormat="false" ht="15" hidden="false" customHeight="false" outlineLevel="0" collapsed="false">
      <c r="A64" s="8" t="n">
        <v>63</v>
      </c>
      <c r="B64" s="8" t="s">
        <v>219</v>
      </c>
      <c r="C64" s="19" t="s">
        <v>201</v>
      </c>
      <c r="D64" s="10" t="s">
        <v>220</v>
      </c>
      <c r="E64" s="11" t="s">
        <v>221</v>
      </c>
      <c r="F64" s="8" t="n">
        <v>2</v>
      </c>
      <c r="G64" s="8" t="s">
        <v>35</v>
      </c>
      <c r="H64" s="8"/>
      <c r="I64" s="11"/>
    </row>
    <row r="65" customFormat="false" ht="23.85" hidden="false" customHeight="false" outlineLevel="0" collapsed="false">
      <c r="A65" s="12" t="n">
        <v>64</v>
      </c>
      <c r="B65" s="12" t="s">
        <v>222</v>
      </c>
      <c r="C65" s="19" t="s">
        <v>201</v>
      </c>
      <c r="D65" s="13" t="s">
        <v>223</v>
      </c>
      <c r="E65" s="14" t="s">
        <v>224</v>
      </c>
      <c r="F65" s="12" t="n">
        <v>3</v>
      </c>
      <c r="G65" s="12" t="s">
        <v>35</v>
      </c>
      <c r="H65" s="12"/>
      <c r="I65" s="14"/>
    </row>
    <row r="67" customFormat="false" ht="15" hidden="false" customHeight="false" outlineLevel="0" collapsed="false">
      <c r="B67" s="5" t="s">
        <v>225</v>
      </c>
    </row>
  </sheetData>
  <autoFilter ref="A1:I65"/>
  <dataValidations count="1">
    <dataValidation allowBlank="true" errorStyle="stop" operator="between" showDropDown="false" showErrorMessage="false" showInputMessage="false" sqref="H2:H65" type="list">
      <formula1>"Not built,Outlined,Drafting,Built"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3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26"/>
  </cols>
  <sheetData>
    <row r="1" customFormat="false" ht="30" hidden="false" customHeight="true" outlineLevel="0" collapsed="false">
      <c r="A1" s="7" t="s">
        <v>226</v>
      </c>
      <c r="B1" s="7" t="s">
        <v>227</v>
      </c>
      <c r="C1" s="7" t="s">
        <v>228</v>
      </c>
      <c r="D1" s="7" t="s">
        <v>229</v>
      </c>
      <c r="E1" s="7" t="s">
        <v>23</v>
      </c>
      <c r="F1" s="7" t="s">
        <v>230</v>
      </c>
      <c r="G1" s="7" t="s">
        <v>231</v>
      </c>
      <c r="H1" s="7" t="s">
        <v>232</v>
      </c>
      <c r="I1" s="7" t="s">
        <v>233</v>
      </c>
    </row>
    <row r="2" customFormat="false" ht="23.85" hidden="false" customHeight="false" outlineLevel="0" collapsed="false">
      <c r="A2" s="8" t="n">
        <v>1</v>
      </c>
      <c r="B2" s="8" t="s">
        <v>234</v>
      </c>
      <c r="C2" s="11" t="s">
        <v>235</v>
      </c>
      <c r="D2" s="10" t="s">
        <v>236</v>
      </c>
      <c r="E2" s="20" t="s">
        <v>48</v>
      </c>
      <c r="F2" s="11" t="s">
        <v>237</v>
      </c>
      <c r="G2" s="8"/>
      <c r="H2" s="8"/>
      <c r="I2" s="11"/>
    </row>
    <row r="3" customFormat="false" ht="23.85" hidden="false" customHeight="false" outlineLevel="0" collapsed="false">
      <c r="A3" s="12" t="n">
        <v>2</v>
      </c>
      <c r="B3" s="12" t="s">
        <v>234</v>
      </c>
      <c r="C3" s="14" t="s">
        <v>235</v>
      </c>
      <c r="D3" s="13" t="s">
        <v>238</v>
      </c>
      <c r="E3" s="21" t="s">
        <v>48</v>
      </c>
      <c r="F3" s="14" t="s">
        <v>239</v>
      </c>
      <c r="G3" s="12"/>
      <c r="H3" s="12"/>
      <c r="I3" s="14"/>
    </row>
    <row r="4" customFormat="false" ht="23.85" hidden="false" customHeight="false" outlineLevel="0" collapsed="false">
      <c r="A4" s="8" t="n">
        <v>3</v>
      </c>
      <c r="B4" s="8" t="s">
        <v>234</v>
      </c>
      <c r="C4" s="11" t="s">
        <v>235</v>
      </c>
      <c r="D4" s="10" t="s">
        <v>240</v>
      </c>
      <c r="E4" s="20" t="s">
        <v>48</v>
      </c>
      <c r="F4" s="11" t="s">
        <v>241</v>
      </c>
      <c r="G4" s="8"/>
      <c r="H4" s="8"/>
      <c r="I4" s="11"/>
    </row>
    <row r="5" customFormat="false" ht="46.25" hidden="false" customHeight="false" outlineLevel="0" collapsed="false">
      <c r="A5" s="12" t="n">
        <v>4</v>
      </c>
      <c r="B5" s="12" t="s">
        <v>234</v>
      </c>
      <c r="C5" s="14" t="s">
        <v>235</v>
      </c>
      <c r="D5" s="13" t="s">
        <v>242</v>
      </c>
      <c r="E5" s="21" t="s">
        <v>48</v>
      </c>
      <c r="F5" s="14" t="s">
        <v>243</v>
      </c>
      <c r="G5" s="12"/>
      <c r="H5" s="12"/>
      <c r="I5" s="14"/>
    </row>
    <row r="6" customFormat="false" ht="23.85" hidden="false" customHeight="false" outlineLevel="0" collapsed="false">
      <c r="A6" s="8" t="n">
        <v>5</v>
      </c>
      <c r="B6" s="8" t="s">
        <v>234</v>
      </c>
      <c r="C6" s="11" t="s">
        <v>235</v>
      </c>
      <c r="D6" s="10" t="s">
        <v>244</v>
      </c>
      <c r="E6" s="20" t="s">
        <v>48</v>
      </c>
      <c r="F6" s="11" t="s">
        <v>245</v>
      </c>
      <c r="G6" s="8"/>
      <c r="H6" s="8"/>
      <c r="I6" s="11"/>
    </row>
    <row r="7" customFormat="false" ht="23.85" hidden="false" customHeight="false" outlineLevel="0" collapsed="false">
      <c r="A7" s="12" t="n">
        <v>6</v>
      </c>
      <c r="B7" s="12" t="s">
        <v>234</v>
      </c>
      <c r="C7" s="14" t="s">
        <v>235</v>
      </c>
      <c r="D7" s="13" t="s">
        <v>246</v>
      </c>
      <c r="E7" s="21" t="s">
        <v>48</v>
      </c>
      <c r="F7" s="14" t="s">
        <v>247</v>
      </c>
      <c r="G7" s="12"/>
      <c r="H7" s="12"/>
      <c r="I7" s="14"/>
    </row>
    <row r="8" customFormat="false" ht="23.85" hidden="false" customHeight="false" outlineLevel="0" collapsed="false">
      <c r="A8" s="8" t="n">
        <v>7</v>
      </c>
      <c r="B8" s="8" t="s">
        <v>234</v>
      </c>
      <c r="C8" s="11" t="s">
        <v>235</v>
      </c>
      <c r="D8" s="10" t="s">
        <v>248</v>
      </c>
      <c r="E8" s="20" t="s">
        <v>48</v>
      </c>
      <c r="F8" s="11" t="s">
        <v>249</v>
      </c>
      <c r="G8" s="8"/>
      <c r="H8" s="8"/>
      <c r="I8" s="11"/>
    </row>
    <row r="9" customFormat="false" ht="46.25" hidden="false" customHeight="false" outlineLevel="0" collapsed="false">
      <c r="A9" s="12" t="n">
        <v>8</v>
      </c>
      <c r="B9" s="12" t="s">
        <v>234</v>
      </c>
      <c r="C9" s="14" t="s">
        <v>235</v>
      </c>
      <c r="D9" s="13" t="s">
        <v>250</v>
      </c>
      <c r="E9" s="21" t="s">
        <v>48</v>
      </c>
      <c r="F9" s="14" t="s">
        <v>251</v>
      </c>
      <c r="G9" s="12"/>
      <c r="H9" s="12"/>
      <c r="I9" s="14"/>
    </row>
    <row r="10" customFormat="false" ht="15" hidden="false" customHeight="false" outlineLevel="0" collapsed="false">
      <c r="A10" s="8" t="n">
        <v>9</v>
      </c>
      <c r="B10" s="8" t="s">
        <v>252</v>
      </c>
      <c r="C10" s="11" t="s">
        <v>253</v>
      </c>
      <c r="D10" s="10" t="s">
        <v>34</v>
      </c>
      <c r="E10" s="20" t="s">
        <v>31</v>
      </c>
      <c r="F10" s="11" t="s">
        <v>254</v>
      </c>
      <c r="G10" s="8"/>
      <c r="H10" s="8"/>
      <c r="I10" s="11"/>
    </row>
    <row r="11" customFormat="false" ht="23.85" hidden="false" customHeight="false" outlineLevel="0" collapsed="false">
      <c r="A11" s="12" t="n">
        <v>10</v>
      </c>
      <c r="B11" s="12" t="s">
        <v>252</v>
      </c>
      <c r="C11" s="14" t="s">
        <v>253</v>
      </c>
      <c r="D11" s="13" t="s">
        <v>53</v>
      </c>
      <c r="E11" s="21" t="s">
        <v>51</v>
      </c>
      <c r="F11" s="14" t="s">
        <v>255</v>
      </c>
      <c r="G11" s="12"/>
      <c r="H11" s="12"/>
      <c r="I11" s="14"/>
    </row>
    <row r="12" customFormat="false" ht="35.05" hidden="false" customHeight="false" outlineLevel="0" collapsed="false">
      <c r="A12" s="8" t="n">
        <v>11</v>
      </c>
      <c r="B12" s="8" t="s">
        <v>252</v>
      </c>
      <c r="C12" s="11" t="s">
        <v>253</v>
      </c>
      <c r="D12" s="10" t="s">
        <v>40</v>
      </c>
      <c r="E12" s="20" t="s">
        <v>256</v>
      </c>
      <c r="F12" s="11" t="s">
        <v>257</v>
      </c>
      <c r="G12" s="8"/>
      <c r="H12" s="8"/>
      <c r="I12" s="11"/>
    </row>
    <row r="13" customFormat="false" ht="35.05" hidden="false" customHeight="false" outlineLevel="0" collapsed="false">
      <c r="A13" s="12" t="n">
        <v>12</v>
      </c>
      <c r="B13" s="12" t="s">
        <v>258</v>
      </c>
      <c r="C13" s="14" t="s">
        <v>253</v>
      </c>
      <c r="D13" s="13" t="s">
        <v>56</v>
      </c>
      <c r="E13" s="21" t="s">
        <v>54</v>
      </c>
      <c r="F13" s="14" t="s">
        <v>259</v>
      </c>
      <c r="G13" s="12"/>
      <c r="H13" s="12"/>
      <c r="I13" s="14"/>
    </row>
    <row r="14" customFormat="false" ht="46.25" hidden="false" customHeight="false" outlineLevel="0" collapsed="false">
      <c r="A14" s="8" t="n">
        <v>13</v>
      </c>
      <c r="B14" s="8" t="s">
        <v>258</v>
      </c>
      <c r="C14" s="11" t="s">
        <v>253</v>
      </c>
      <c r="D14" s="10" t="s">
        <v>260</v>
      </c>
      <c r="E14" s="20" t="s">
        <v>57</v>
      </c>
      <c r="F14" s="11" t="s">
        <v>261</v>
      </c>
      <c r="G14" s="8"/>
      <c r="H14" s="8"/>
      <c r="I14" s="11"/>
    </row>
    <row r="15" customFormat="false" ht="23.85" hidden="false" customHeight="false" outlineLevel="0" collapsed="false">
      <c r="A15" s="12" t="n">
        <v>14</v>
      </c>
      <c r="B15" s="12" t="s">
        <v>258</v>
      </c>
      <c r="C15" s="14" t="s">
        <v>253</v>
      </c>
      <c r="D15" s="13" t="s">
        <v>262</v>
      </c>
      <c r="E15" s="21" t="s">
        <v>57</v>
      </c>
      <c r="F15" s="14" t="s">
        <v>263</v>
      </c>
      <c r="G15" s="12"/>
      <c r="H15" s="12"/>
      <c r="I15" s="14"/>
    </row>
    <row r="16" customFormat="false" ht="23.85" hidden="false" customHeight="false" outlineLevel="0" collapsed="false">
      <c r="A16" s="8" t="n">
        <v>15</v>
      </c>
      <c r="B16" s="8" t="s">
        <v>258</v>
      </c>
      <c r="C16" s="11" t="s">
        <v>253</v>
      </c>
      <c r="D16" s="10" t="s">
        <v>264</v>
      </c>
      <c r="E16" s="20" t="s">
        <v>60</v>
      </c>
      <c r="F16" s="11" t="s">
        <v>265</v>
      </c>
      <c r="G16" s="8"/>
      <c r="H16" s="8"/>
      <c r="I16" s="11"/>
    </row>
    <row r="17" customFormat="false" ht="35.05" hidden="false" customHeight="false" outlineLevel="0" collapsed="false">
      <c r="A17" s="12" t="n">
        <v>16</v>
      </c>
      <c r="B17" s="12" t="s">
        <v>266</v>
      </c>
      <c r="C17" s="14" t="s">
        <v>253</v>
      </c>
      <c r="D17" s="13" t="s">
        <v>93</v>
      </c>
      <c r="E17" s="21" t="s">
        <v>267</v>
      </c>
      <c r="F17" s="14" t="s">
        <v>268</v>
      </c>
      <c r="G17" s="12"/>
      <c r="H17" s="12"/>
      <c r="I17" s="14"/>
    </row>
    <row r="18" customFormat="false" ht="35.05" hidden="false" customHeight="false" outlineLevel="0" collapsed="false">
      <c r="A18" s="8" t="n">
        <v>17</v>
      </c>
      <c r="B18" s="8" t="s">
        <v>258</v>
      </c>
      <c r="C18" s="11" t="s">
        <v>253</v>
      </c>
      <c r="D18" s="10" t="s">
        <v>269</v>
      </c>
      <c r="E18" s="20" t="s">
        <v>63</v>
      </c>
      <c r="F18" s="11" t="s">
        <v>270</v>
      </c>
      <c r="G18" s="8"/>
      <c r="H18" s="8"/>
      <c r="I18" s="11"/>
    </row>
    <row r="19" customFormat="false" ht="15" hidden="false" customHeight="false" outlineLevel="0" collapsed="false">
      <c r="A19" s="12" t="n">
        <v>18</v>
      </c>
      <c r="B19" s="12" t="s">
        <v>258</v>
      </c>
      <c r="C19" s="14" t="s">
        <v>253</v>
      </c>
      <c r="D19" s="13" t="s">
        <v>271</v>
      </c>
      <c r="E19" s="21" t="s">
        <v>66</v>
      </c>
      <c r="F19" s="14" t="s">
        <v>272</v>
      </c>
      <c r="G19" s="12"/>
      <c r="H19" s="12"/>
      <c r="I19" s="14"/>
    </row>
    <row r="20" customFormat="false" ht="15" hidden="false" customHeight="false" outlineLevel="0" collapsed="false">
      <c r="A20" s="8" t="n">
        <v>19</v>
      </c>
      <c r="B20" s="8" t="s">
        <v>258</v>
      </c>
      <c r="C20" s="11" t="s">
        <v>253</v>
      </c>
      <c r="D20" s="10" t="s">
        <v>273</v>
      </c>
      <c r="E20" s="20" t="s">
        <v>69</v>
      </c>
      <c r="F20" s="11" t="s">
        <v>274</v>
      </c>
      <c r="G20" s="8"/>
      <c r="H20" s="8"/>
      <c r="I20" s="11"/>
    </row>
    <row r="21" customFormat="false" ht="15" hidden="false" customHeight="false" outlineLevel="0" collapsed="false">
      <c r="A21" s="12" t="n">
        <v>20</v>
      </c>
      <c r="B21" s="12" t="s">
        <v>258</v>
      </c>
      <c r="C21" s="14" t="s">
        <v>253</v>
      </c>
      <c r="D21" s="13" t="s">
        <v>275</v>
      </c>
      <c r="E21" s="21" t="s">
        <v>69</v>
      </c>
      <c r="F21" s="14" t="s">
        <v>276</v>
      </c>
      <c r="G21" s="12"/>
      <c r="H21" s="12"/>
      <c r="I21" s="14"/>
    </row>
    <row r="22" customFormat="false" ht="23.85" hidden="false" customHeight="false" outlineLevel="0" collapsed="false">
      <c r="A22" s="8" t="n">
        <v>21</v>
      </c>
      <c r="B22" s="8" t="s">
        <v>258</v>
      </c>
      <c r="C22" s="11" t="s">
        <v>253</v>
      </c>
      <c r="D22" s="10" t="s">
        <v>74</v>
      </c>
      <c r="E22" s="20" t="s">
        <v>72</v>
      </c>
      <c r="F22" s="11" t="s">
        <v>277</v>
      </c>
      <c r="G22" s="8"/>
      <c r="H22" s="8"/>
      <c r="I22" s="11"/>
    </row>
    <row r="23" customFormat="false" ht="23.85" hidden="false" customHeight="false" outlineLevel="0" collapsed="false">
      <c r="A23" s="12" t="n">
        <v>22</v>
      </c>
      <c r="B23" s="12" t="s">
        <v>258</v>
      </c>
      <c r="C23" s="14" t="s">
        <v>253</v>
      </c>
      <c r="D23" s="13" t="s">
        <v>278</v>
      </c>
      <c r="E23" s="21" t="s">
        <v>75</v>
      </c>
      <c r="F23" s="14" t="s">
        <v>279</v>
      </c>
      <c r="G23" s="12"/>
      <c r="H23" s="12"/>
      <c r="I23" s="14"/>
    </row>
    <row r="24" customFormat="false" ht="23.85" hidden="false" customHeight="false" outlineLevel="0" collapsed="false">
      <c r="A24" s="8" t="n">
        <v>23</v>
      </c>
      <c r="B24" s="8" t="s">
        <v>258</v>
      </c>
      <c r="C24" s="11" t="s">
        <v>253</v>
      </c>
      <c r="D24" s="10" t="s">
        <v>280</v>
      </c>
      <c r="E24" s="20" t="s">
        <v>75</v>
      </c>
      <c r="F24" s="11" t="s">
        <v>281</v>
      </c>
      <c r="G24" s="8"/>
      <c r="H24" s="8"/>
      <c r="I24" s="11"/>
    </row>
    <row r="25" customFormat="false" ht="15" hidden="false" customHeight="false" outlineLevel="0" collapsed="false">
      <c r="A25" s="12" t="n">
        <v>24</v>
      </c>
      <c r="B25" s="12" t="s">
        <v>258</v>
      </c>
      <c r="C25" s="14" t="s">
        <v>253</v>
      </c>
      <c r="D25" s="13" t="s">
        <v>282</v>
      </c>
      <c r="E25" s="21" t="s">
        <v>81</v>
      </c>
      <c r="F25" s="14" t="s">
        <v>283</v>
      </c>
      <c r="G25" s="12"/>
      <c r="H25" s="12"/>
      <c r="I25" s="14"/>
    </row>
    <row r="26" customFormat="false" ht="23.85" hidden="false" customHeight="false" outlineLevel="0" collapsed="false">
      <c r="A26" s="8" t="n">
        <v>25</v>
      </c>
      <c r="B26" s="8" t="s">
        <v>258</v>
      </c>
      <c r="C26" s="11" t="s">
        <v>253</v>
      </c>
      <c r="D26" s="10" t="s">
        <v>284</v>
      </c>
      <c r="E26" s="20" t="s">
        <v>78</v>
      </c>
      <c r="F26" s="11" t="s">
        <v>285</v>
      </c>
      <c r="G26" s="8"/>
      <c r="H26" s="8"/>
      <c r="I26" s="11"/>
    </row>
    <row r="27" customFormat="false" ht="23.85" hidden="false" customHeight="false" outlineLevel="0" collapsed="false">
      <c r="A27" s="12" t="n">
        <v>26</v>
      </c>
      <c r="B27" s="12" t="s">
        <v>258</v>
      </c>
      <c r="C27" s="14" t="s">
        <v>253</v>
      </c>
      <c r="D27" s="13" t="s">
        <v>286</v>
      </c>
      <c r="E27" s="21" t="s">
        <v>78</v>
      </c>
      <c r="F27" s="14" t="s">
        <v>287</v>
      </c>
      <c r="G27" s="12"/>
      <c r="H27" s="12"/>
      <c r="I27" s="14"/>
    </row>
    <row r="28" customFormat="false" ht="23.85" hidden="false" customHeight="false" outlineLevel="0" collapsed="false">
      <c r="A28" s="8" t="n">
        <v>27</v>
      </c>
      <c r="B28" s="8" t="s">
        <v>258</v>
      </c>
      <c r="C28" s="11" t="s">
        <v>253</v>
      </c>
      <c r="D28" s="10" t="s">
        <v>288</v>
      </c>
      <c r="E28" s="20" t="s">
        <v>81</v>
      </c>
      <c r="F28" s="11" t="s">
        <v>289</v>
      </c>
      <c r="G28" s="8"/>
      <c r="H28" s="8"/>
      <c r="I28" s="11"/>
    </row>
    <row r="29" customFormat="false" ht="23.85" hidden="false" customHeight="false" outlineLevel="0" collapsed="false">
      <c r="A29" s="12" t="n">
        <v>28</v>
      </c>
      <c r="B29" s="12" t="s">
        <v>258</v>
      </c>
      <c r="C29" s="14" t="s">
        <v>253</v>
      </c>
      <c r="D29" s="13" t="s">
        <v>290</v>
      </c>
      <c r="E29" s="21" t="s">
        <v>81</v>
      </c>
      <c r="F29" s="14" t="s">
        <v>291</v>
      </c>
      <c r="G29" s="12"/>
      <c r="H29" s="12"/>
      <c r="I29" s="14"/>
    </row>
    <row r="30" customFormat="false" ht="23.85" hidden="false" customHeight="false" outlineLevel="0" collapsed="false">
      <c r="A30" s="8" t="n">
        <v>29</v>
      </c>
      <c r="B30" s="8" t="s">
        <v>258</v>
      </c>
      <c r="C30" s="11" t="s">
        <v>253</v>
      </c>
      <c r="D30" s="10" t="s">
        <v>292</v>
      </c>
      <c r="E30" s="20" t="s">
        <v>66</v>
      </c>
      <c r="F30" s="11" t="s">
        <v>293</v>
      </c>
      <c r="G30" s="8"/>
      <c r="H30" s="8"/>
      <c r="I30" s="11"/>
    </row>
    <row r="31" customFormat="false" ht="35.05" hidden="false" customHeight="false" outlineLevel="0" collapsed="false">
      <c r="A31" s="12" t="n">
        <v>30</v>
      </c>
      <c r="B31" s="12" t="s">
        <v>258</v>
      </c>
      <c r="C31" s="14" t="s">
        <v>294</v>
      </c>
      <c r="D31" s="13" t="s">
        <v>295</v>
      </c>
      <c r="E31" s="21" t="s">
        <v>63</v>
      </c>
      <c r="F31" s="14" t="s">
        <v>296</v>
      </c>
      <c r="G31" s="12"/>
      <c r="H31" s="12"/>
      <c r="I31" s="14"/>
    </row>
    <row r="32" customFormat="false" ht="23.85" hidden="false" customHeight="false" outlineLevel="0" collapsed="false">
      <c r="A32" s="8" t="n">
        <v>31</v>
      </c>
      <c r="B32" s="8" t="s">
        <v>258</v>
      </c>
      <c r="C32" s="11" t="s">
        <v>294</v>
      </c>
      <c r="D32" s="10" t="s">
        <v>297</v>
      </c>
      <c r="E32" s="20" t="s">
        <v>84</v>
      </c>
      <c r="F32" s="11" t="s">
        <v>298</v>
      </c>
      <c r="G32" s="8"/>
      <c r="H32" s="8"/>
      <c r="I32" s="11"/>
    </row>
    <row r="33" customFormat="false" ht="35.05" hidden="false" customHeight="false" outlineLevel="0" collapsed="false">
      <c r="A33" s="12" t="n">
        <v>32</v>
      </c>
      <c r="B33" s="12" t="s">
        <v>258</v>
      </c>
      <c r="C33" s="14" t="s">
        <v>294</v>
      </c>
      <c r="D33" s="13" t="s">
        <v>299</v>
      </c>
      <c r="E33" s="21" t="s">
        <v>84</v>
      </c>
      <c r="F33" s="14" t="s">
        <v>300</v>
      </c>
      <c r="G33" s="12"/>
      <c r="H33" s="12"/>
      <c r="I33" s="14"/>
    </row>
    <row r="34" customFormat="false" ht="23.85" hidden="false" customHeight="false" outlineLevel="0" collapsed="false">
      <c r="A34" s="8" t="n">
        <v>33</v>
      </c>
      <c r="B34" s="8" t="s">
        <v>258</v>
      </c>
      <c r="C34" s="11" t="s">
        <v>294</v>
      </c>
      <c r="D34" s="10" t="s">
        <v>301</v>
      </c>
      <c r="E34" s="20" t="s">
        <v>87</v>
      </c>
      <c r="F34" s="11" t="s">
        <v>302</v>
      </c>
      <c r="G34" s="8"/>
      <c r="H34" s="8"/>
      <c r="I34" s="11"/>
    </row>
    <row r="35" customFormat="false" ht="23.85" hidden="false" customHeight="false" outlineLevel="0" collapsed="false">
      <c r="A35" s="12" t="n">
        <v>34</v>
      </c>
      <c r="B35" s="12" t="s">
        <v>258</v>
      </c>
      <c r="C35" s="14" t="s">
        <v>294</v>
      </c>
      <c r="D35" s="13" t="s">
        <v>303</v>
      </c>
      <c r="E35" s="21" t="s">
        <v>87</v>
      </c>
      <c r="F35" s="14" t="s">
        <v>304</v>
      </c>
      <c r="G35" s="12"/>
      <c r="H35" s="12"/>
      <c r="I35" s="14"/>
    </row>
    <row r="36" customFormat="false" ht="23.85" hidden="false" customHeight="false" outlineLevel="0" collapsed="false">
      <c r="A36" s="8" t="n">
        <v>35</v>
      </c>
      <c r="B36" s="8" t="s">
        <v>258</v>
      </c>
      <c r="C36" s="11" t="s">
        <v>294</v>
      </c>
      <c r="D36" s="10" t="s">
        <v>305</v>
      </c>
      <c r="E36" s="20" t="s">
        <v>60</v>
      </c>
      <c r="F36" s="11" t="s">
        <v>306</v>
      </c>
      <c r="G36" s="8"/>
      <c r="H36" s="8"/>
      <c r="I36" s="11"/>
    </row>
    <row r="37" customFormat="false" ht="23.85" hidden="false" customHeight="false" outlineLevel="0" collapsed="false">
      <c r="A37" s="12" t="n">
        <v>36</v>
      </c>
      <c r="B37" s="12" t="s">
        <v>258</v>
      </c>
      <c r="C37" s="14" t="s">
        <v>294</v>
      </c>
      <c r="D37" s="13" t="s">
        <v>307</v>
      </c>
      <c r="E37" s="21" t="s">
        <v>84</v>
      </c>
      <c r="F37" s="14" t="s">
        <v>308</v>
      </c>
      <c r="G37" s="12"/>
      <c r="H37" s="12"/>
      <c r="I37" s="14"/>
    </row>
    <row r="38" customFormat="false" ht="23.85" hidden="false" customHeight="false" outlineLevel="0" collapsed="false">
      <c r="A38" s="8" t="n">
        <v>37</v>
      </c>
      <c r="B38" s="8" t="s">
        <v>258</v>
      </c>
      <c r="C38" s="11" t="s">
        <v>294</v>
      </c>
      <c r="D38" s="10" t="s">
        <v>309</v>
      </c>
      <c r="E38" s="20" t="s">
        <v>84</v>
      </c>
      <c r="F38" s="11" t="s">
        <v>310</v>
      </c>
      <c r="G38" s="8"/>
      <c r="H38" s="8"/>
      <c r="I38" s="11"/>
    </row>
    <row r="39" customFormat="false" ht="35.05" hidden="false" customHeight="false" outlineLevel="0" collapsed="false">
      <c r="A39" s="12" t="n">
        <v>38</v>
      </c>
      <c r="B39" s="12" t="s">
        <v>266</v>
      </c>
      <c r="C39" s="14" t="s">
        <v>311</v>
      </c>
      <c r="D39" s="13" t="s">
        <v>312</v>
      </c>
      <c r="E39" s="21" t="s">
        <v>96</v>
      </c>
      <c r="F39" s="14" t="s">
        <v>313</v>
      </c>
      <c r="G39" s="12"/>
      <c r="H39" s="12"/>
      <c r="I39" s="14"/>
    </row>
    <row r="40" customFormat="false" ht="23.85" hidden="false" customHeight="false" outlineLevel="0" collapsed="false">
      <c r="A40" s="8" t="n">
        <v>39</v>
      </c>
      <c r="B40" s="8" t="s">
        <v>266</v>
      </c>
      <c r="C40" s="11" t="s">
        <v>311</v>
      </c>
      <c r="D40" s="10" t="s">
        <v>314</v>
      </c>
      <c r="E40" s="20" t="s">
        <v>96</v>
      </c>
      <c r="F40" s="11" t="s">
        <v>315</v>
      </c>
      <c r="G40" s="8"/>
      <c r="H40" s="8"/>
      <c r="I40" s="11"/>
    </row>
    <row r="41" customFormat="false" ht="15" hidden="false" customHeight="false" outlineLevel="0" collapsed="false">
      <c r="A41" s="12" t="n">
        <v>40</v>
      </c>
      <c r="B41" s="12" t="s">
        <v>266</v>
      </c>
      <c r="C41" s="14" t="s">
        <v>311</v>
      </c>
      <c r="D41" s="13" t="s">
        <v>316</v>
      </c>
      <c r="E41" s="21" t="s">
        <v>99</v>
      </c>
      <c r="F41" s="14" t="s">
        <v>317</v>
      </c>
      <c r="G41" s="12"/>
      <c r="H41" s="12"/>
      <c r="I41" s="14"/>
    </row>
    <row r="42" customFormat="false" ht="23.85" hidden="false" customHeight="false" outlineLevel="0" collapsed="false">
      <c r="A42" s="8" t="n">
        <v>41</v>
      </c>
      <c r="B42" s="8" t="s">
        <v>266</v>
      </c>
      <c r="C42" s="11" t="s">
        <v>311</v>
      </c>
      <c r="D42" s="10" t="s">
        <v>318</v>
      </c>
      <c r="E42" s="20" t="s">
        <v>99</v>
      </c>
      <c r="F42" s="11" t="s">
        <v>319</v>
      </c>
      <c r="G42" s="8"/>
      <c r="H42" s="8"/>
      <c r="I42" s="11"/>
    </row>
    <row r="43" customFormat="false" ht="23.85" hidden="false" customHeight="false" outlineLevel="0" collapsed="false">
      <c r="A43" s="12" t="n">
        <v>42</v>
      </c>
      <c r="B43" s="12" t="s">
        <v>266</v>
      </c>
      <c r="C43" s="14" t="s">
        <v>311</v>
      </c>
      <c r="D43" s="13" t="s">
        <v>320</v>
      </c>
      <c r="E43" s="21" t="s">
        <v>99</v>
      </c>
      <c r="F43" s="14" t="s">
        <v>321</v>
      </c>
      <c r="G43" s="12"/>
      <c r="H43" s="12"/>
      <c r="I43" s="14"/>
    </row>
    <row r="44" customFormat="false" ht="23.85" hidden="false" customHeight="false" outlineLevel="0" collapsed="false">
      <c r="A44" s="8" t="n">
        <v>43</v>
      </c>
      <c r="B44" s="8" t="s">
        <v>266</v>
      </c>
      <c r="C44" s="11" t="s">
        <v>311</v>
      </c>
      <c r="D44" s="10" t="s">
        <v>322</v>
      </c>
      <c r="E44" s="20" t="s">
        <v>99</v>
      </c>
      <c r="F44" s="11" t="s">
        <v>323</v>
      </c>
      <c r="G44" s="8"/>
      <c r="H44" s="8"/>
      <c r="I44" s="11"/>
    </row>
    <row r="45" customFormat="false" ht="35.05" hidden="false" customHeight="false" outlineLevel="0" collapsed="false">
      <c r="A45" s="12" t="n">
        <v>44</v>
      </c>
      <c r="B45" s="12" t="s">
        <v>266</v>
      </c>
      <c r="C45" s="14" t="s">
        <v>311</v>
      </c>
      <c r="D45" s="13" t="s">
        <v>104</v>
      </c>
      <c r="E45" s="21" t="s">
        <v>102</v>
      </c>
      <c r="F45" s="14" t="s">
        <v>324</v>
      </c>
      <c r="G45" s="12"/>
      <c r="H45" s="12"/>
      <c r="I45" s="14"/>
    </row>
    <row r="46" customFormat="false" ht="23.85" hidden="false" customHeight="false" outlineLevel="0" collapsed="false">
      <c r="A46" s="8" t="n">
        <v>45</v>
      </c>
      <c r="B46" s="8" t="s">
        <v>266</v>
      </c>
      <c r="C46" s="11" t="s">
        <v>311</v>
      </c>
      <c r="D46" s="10" t="s">
        <v>325</v>
      </c>
      <c r="E46" s="20" t="s">
        <v>105</v>
      </c>
      <c r="F46" s="11" t="s">
        <v>326</v>
      </c>
      <c r="G46" s="8"/>
      <c r="H46" s="8"/>
      <c r="I46" s="11"/>
    </row>
    <row r="47" customFormat="false" ht="35.05" hidden="false" customHeight="false" outlineLevel="0" collapsed="false">
      <c r="A47" s="12" t="n">
        <v>46</v>
      </c>
      <c r="B47" s="12" t="s">
        <v>266</v>
      </c>
      <c r="C47" s="14" t="s">
        <v>311</v>
      </c>
      <c r="D47" s="13" t="s">
        <v>327</v>
      </c>
      <c r="E47" s="21" t="s">
        <v>105</v>
      </c>
      <c r="F47" s="14" t="s">
        <v>328</v>
      </c>
      <c r="G47" s="12"/>
      <c r="H47" s="12"/>
      <c r="I47" s="14"/>
    </row>
    <row r="48" customFormat="false" ht="23.85" hidden="false" customHeight="false" outlineLevel="0" collapsed="false">
      <c r="A48" s="8" t="n">
        <v>47</v>
      </c>
      <c r="B48" s="8" t="s">
        <v>329</v>
      </c>
      <c r="C48" s="11" t="s">
        <v>330</v>
      </c>
      <c r="D48" s="10" t="s">
        <v>331</v>
      </c>
      <c r="E48" s="20" t="s">
        <v>119</v>
      </c>
      <c r="F48" s="11" t="s">
        <v>332</v>
      </c>
      <c r="G48" s="8"/>
      <c r="H48" s="8"/>
      <c r="I48" s="11"/>
    </row>
    <row r="49" customFormat="false" ht="15" hidden="false" customHeight="false" outlineLevel="0" collapsed="false">
      <c r="A49" s="12" t="n">
        <v>48</v>
      </c>
      <c r="B49" s="12" t="s">
        <v>329</v>
      </c>
      <c r="C49" s="14" t="s">
        <v>330</v>
      </c>
      <c r="D49" s="13" t="s">
        <v>333</v>
      </c>
      <c r="E49" s="21" t="s">
        <v>119</v>
      </c>
      <c r="F49" s="14" t="s">
        <v>334</v>
      </c>
      <c r="G49" s="12"/>
      <c r="H49" s="12"/>
      <c r="I49" s="14"/>
    </row>
    <row r="50" customFormat="false" ht="23.85" hidden="false" customHeight="false" outlineLevel="0" collapsed="false">
      <c r="A50" s="8" t="n">
        <v>49</v>
      </c>
      <c r="B50" s="8" t="s">
        <v>329</v>
      </c>
      <c r="C50" s="11" t="s">
        <v>330</v>
      </c>
      <c r="D50" s="10" t="s">
        <v>335</v>
      </c>
      <c r="E50" s="20" t="s">
        <v>129</v>
      </c>
      <c r="F50" s="11" t="s">
        <v>336</v>
      </c>
      <c r="G50" s="8"/>
      <c r="H50" s="8"/>
      <c r="I50" s="11"/>
    </row>
    <row r="51" customFormat="false" ht="23.85" hidden="false" customHeight="false" outlineLevel="0" collapsed="false">
      <c r="A51" s="12" t="n">
        <v>50</v>
      </c>
      <c r="B51" s="12" t="s">
        <v>329</v>
      </c>
      <c r="C51" s="14" t="s">
        <v>330</v>
      </c>
      <c r="D51" s="13" t="s">
        <v>337</v>
      </c>
      <c r="E51" s="21" t="s">
        <v>129</v>
      </c>
      <c r="F51" s="14" t="s">
        <v>338</v>
      </c>
      <c r="G51" s="12"/>
      <c r="H51" s="12"/>
      <c r="I51" s="14"/>
    </row>
    <row r="52" customFormat="false" ht="23.85" hidden="false" customHeight="false" outlineLevel="0" collapsed="false">
      <c r="A52" s="8" t="n">
        <v>51</v>
      </c>
      <c r="B52" s="8" t="s">
        <v>329</v>
      </c>
      <c r="C52" s="11" t="s">
        <v>330</v>
      </c>
      <c r="D52" s="10" t="s">
        <v>339</v>
      </c>
      <c r="E52" s="20" t="s">
        <v>123</v>
      </c>
      <c r="F52" s="11" t="s">
        <v>340</v>
      </c>
      <c r="G52" s="8"/>
      <c r="H52" s="8"/>
      <c r="I52" s="11"/>
    </row>
    <row r="53" customFormat="false" ht="23.85" hidden="false" customHeight="false" outlineLevel="0" collapsed="false">
      <c r="A53" s="12" t="n">
        <v>52</v>
      </c>
      <c r="B53" s="12" t="s">
        <v>329</v>
      </c>
      <c r="C53" s="14" t="s">
        <v>330</v>
      </c>
      <c r="D53" s="13" t="s">
        <v>341</v>
      </c>
      <c r="E53" s="21" t="s">
        <v>123</v>
      </c>
      <c r="F53" s="14" t="s">
        <v>342</v>
      </c>
      <c r="G53" s="12"/>
      <c r="H53" s="12"/>
      <c r="I53" s="14"/>
    </row>
    <row r="54" customFormat="false" ht="23.85" hidden="false" customHeight="false" outlineLevel="0" collapsed="false">
      <c r="A54" s="8" t="n">
        <v>53</v>
      </c>
      <c r="B54" s="8" t="s">
        <v>329</v>
      </c>
      <c r="C54" s="11" t="s">
        <v>330</v>
      </c>
      <c r="D54" s="10" t="s">
        <v>343</v>
      </c>
      <c r="E54" s="20" t="s">
        <v>126</v>
      </c>
      <c r="F54" s="11" t="s">
        <v>344</v>
      </c>
      <c r="G54" s="8"/>
      <c r="H54" s="8"/>
      <c r="I54" s="11"/>
    </row>
    <row r="55" customFormat="false" ht="35.05" hidden="false" customHeight="false" outlineLevel="0" collapsed="false">
      <c r="A55" s="12" t="n">
        <v>54</v>
      </c>
      <c r="B55" s="12" t="s">
        <v>329</v>
      </c>
      <c r="C55" s="14" t="s">
        <v>330</v>
      </c>
      <c r="D55" s="13" t="s">
        <v>345</v>
      </c>
      <c r="E55" s="21" t="s">
        <v>126</v>
      </c>
      <c r="F55" s="14" t="s">
        <v>346</v>
      </c>
      <c r="G55" s="12"/>
      <c r="H55" s="12"/>
      <c r="I55" s="14"/>
    </row>
    <row r="56" customFormat="false" ht="35.05" hidden="false" customHeight="false" outlineLevel="0" collapsed="false">
      <c r="A56" s="8" t="n">
        <v>55</v>
      </c>
      <c r="B56" s="8" t="s">
        <v>329</v>
      </c>
      <c r="C56" s="11" t="s">
        <v>330</v>
      </c>
      <c r="D56" s="10" t="s">
        <v>347</v>
      </c>
      <c r="E56" s="20" t="s">
        <v>126</v>
      </c>
      <c r="F56" s="11" t="s">
        <v>348</v>
      </c>
      <c r="G56" s="8"/>
      <c r="H56" s="8"/>
      <c r="I56" s="11"/>
    </row>
    <row r="57" customFormat="false" ht="23.85" hidden="false" customHeight="false" outlineLevel="0" collapsed="false">
      <c r="A57" s="12" t="n">
        <v>56</v>
      </c>
      <c r="B57" s="12" t="s">
        <v>329</v>
      </c>
      <c r="C57" s="14" t="s">
        <v>330</v>
      </c>
      <c r="D57" s="13" t="s">
        <v>349</v>
      </c>
      <c r="E57" s="21" t="s">
        <v>135</v>
      </c>
      <c r="F57" s="14" t="s">
        <v>350</v>
      </c>
      <c r="G57" s="12"/>
      <c r="H57" s="12"/>
      <c r="I57" s="14"/>
    </row>
    <row r="58" customFormat="false" ht="23.85" hidden="false" customHeight="false" outlineLevel="0" collapsed="false">
      <c r="A58" s="8" t="n">
        <v>57</v>
      </c>
      <c r="B58" s="8" t="s">
        <v>329</v>
      </c>
      <c r="C58" s="11" t="s">
        <v>330</v>
      </c>
      <c r="D58" s="10" t="s">
        <v>351</v>
      </c>
      <c r="E58" s="20" t="s">
        <v>132</v>
      </c>
      <c r="F58" s="11" t="s">
        <v>352</v>
      </c>
      <c r="G58" s="8"/>
      <c r="H58" s="8"/>
      <c r="I58" s="11"/>
    </row>
    <row r="59" customFormat="false" ht="23.85" hidden="false" customHeight="false" outlineLevel="0" collapsed="false">
      <c r="A59" s="12" t="n">
        <v>58</v>
      </c>
      <c r="B59" s="12" t="s">
        <v>329</v>
      </c>
      <c r="C59" s="14" t="s">
        <v>330</v>
      </c>
      <c r="D59" s="13" t="s">
        <v>353</v>
      </c>
      <c r="E59" s="21" t="s">
        <v>132</v>
      </c>
      <c r="F59" s="14" t="s">
        <v>354</v>
      </c>
      <c r="G59" s="12"/>
      <c r="H59" s="12"/>
      <c r="I59" s="14"/>
    </row>
    <row r="60" customFormat="false" ht="23.85" hidden="false" customHeight="false" outlineLevel="0" collapsed="false">
      <c r="A60" s="8" t="n">
        <v>59</v>
      </c>
      <c r="B60" s="8" t="s">
        <v>329</v>
      </c>
      <c r="C60" s="11" t="s">
        <v>330</v>
      </c>
      <c r="D60" s="10" t="s">
        <v>355</v>
      </c>
      <c r="E60" s="20" t="s">
        <v>135</v>
      </c>
      <c r="F60" s="11" t="s">
        <v>356</v>
      </c>
      <c r="G60" s="8"/>
      <c r="H60" s="8"/>
      <c r="I60" s="11"/>
    </row>
    <row r="61" customFormat="false" ht="15" hidden="false" customHeight="false" outlineLevel="0" collapsed="false">
      <c r="A61" s="12" t="n">
        <v>60</v>
      </c>
      <c r="B61" s="12" t="s">
        <v>266</v>
      </c>
      <c r="C61" s="14" t="s">
        <v>357</v>
      </c>
      <c r="D61" s="13" t="s">
        <v>109</v>
      </c>
      <c r="E61" s="21" t="s">
        <v>108</v>
      </c>
      <c r="F61" s="14" t="s">
        <v>358</v>
      </c>
      <c r="G61" s="12"/>
      <c r="H61" s="12"/>
      <c r="I61" s="14"/>
    </row>
    <row r="62" customFormat="false" ht="23.85" hidden="false" customHeight="false" outlineLevel="0" collapsed="false">
      <c r="A62" s="8" t="n">
        <v>61</v>
      </c>
      <c r="B62" s="8" t="s">
        <v>266</v>
      </c>
      <c r="C62" s="11" t="s">
        <v>357</v>
      </c>
      <c r="D62" s="10" t="s">
        <v>111</v>
      </c>
      <c r="E62" s="20" t="s">
        <v>110</v>
      </c>
      <c r="F62" s="11" t="s">
        <v>359</v>
      </c>
      <c r="G62" s="8"/>
      <c r="H62" s="8"/>
      <c r="I62" s="11"/>
    </row>
    <row r="63" customFormat="false" ht="15" hidden="false" customHeight="false" outlineLevel="0" collapsed="false">
      <c r="A63" s="12" t="n">
        <v>62</v>
      </c>
      <c r="B63" s="12" t="s">
        <v>266</v>
      </c>
      <c r="C63" s="14" t="s">
        <v>357</v>
      </c>
      <c r="D63" s="13" t="s">
        <v>113</v>
      </c>
      <c r="E63" s="21" t="s">
        <v>112</v>
      </c>
      <c r="F63" s="14" t="s">
        <v>360</v>
      </c>
      <c r="G63" s="12"/>
      <c r="H63" s="12"/>
      <c r="I63" s="14"/>
    </row>
    <row r="64" customFormat="false" ht="23.85" hidden="false" customHeight="false" outlineLevel="0" collapsed="false">
      <c r="A64" s="8" t="n">
        <v>63</v>
      </c>
      <c r="B64" s="8" t="s">
        <v>266</v>
      </c>
      <c r="C64" s="11" t="s">
        <v>357</v>
      </c>
      <c r="D64" s="10" t="s">
        <v>115</v>
      </c>
      <c r="E64" s="20" t="s">
        <v>114</v>
      </c>
      <c r="F64" s="11" t="s">
        <v>361</v>
      </c>
      <c r="G64" s="8"/>
      <c r="H64" s="8"/>
      <c r="I64" s="11"/>
    </row>
    <row r="65" customFormat="false" ht="23.85" hidden="false" customHeight="false" outlineLevel="0" collapsed="false">
      <c r="A65" s="12" t="n">
        <v>64</v>
      </c>
      <c r="B65" s="12" t="s">
        <v>266</v>
      </c>
      <c r="C65" s="14" t="s">
        <v>357</v>
      </c>
      <c r="D65" s="13" t="s">
        <v>362</v>
      </c>
      <c r="E65" s="21" t="s">
        <v>116</v>
      </c>
      <c r="F65" s="14" t="s">
        <v>363</v>
      </c>
      <c r="G65" s="12"/>
      <c r="H65" s="12"/>
      <c r="I65" s="14"/>
    </row>
    <row r="66" customFormat="false" ht="23.85" hidden="false" customHeight="false" outlineLevel="0" collapsed="false">
      <c r="A66" s="8" t="n">
        <v>65</v>
      </c>
      <c r="B66" s="8" t="s">
        <v>266</v>
      </c>
      <c r="C66" s="11" t="s">
        <v>357</v>
      </c>
      <c r="D66" s="10" t="s">
        <v>364</v>
      </c>
      <c r="E66" s="20" t="s">
        <v>116</v>
      </c>
      <c r="F66" s="11" t="s">
        <v>365</v>
      </c>
      <c r="G66" s="8"/>
      <c r="H66" s="8"/>
      <c r="I66" s="11"/>
    </row>
    <row r="67" customFormat="false" ht="23.85" hidden="false" customHeight="false" outlineLevel="0" collapsed="false">
      <c r="A67" s="12" t="n">
        <v>66</v>
      </c>
      <c r="B67" s="12" t="s">
        <v>329</v>
      </c>
      <c r="C67" s="14" t="s">
        <v>366</v>
      </c>
      <c r="D67" s="13" t="s">
        <v>367</v>
      </c>
      <c r="E67" s="21" t="s">
        <v>138</v>
      </c>
      <c r="F67" s="14" t="s">
        <v>368</v>
      </c>
      <c r="G67" s="12"/>
      <c r="H67" s="12"/>
      <c r="I67" s="14"/>
    </row>
    <row r="68" customFormat="false" ht="46.25" hidden="false" customHeight="false" outlineLevel="0" collapsed="false">
      <c r="A68" s="8" t="n">
        <v>67</v>
      </c>
      <c r="B68" s="8" t="s">
        <v>329</v>
      </c>
      <c r="C68" s="11" t="s">
        <v>366</v>
      </c>
      <c r="D68" s="10" t="s">
        <v>143</v>
      </c>
      <c r="E68" s="20" t="s">
        <v>141</v>
      </c>
      <c r="F68" s="11" t="s">
        <v>369</v>
      </c>
      <c r="G68" s="8"/>
      <c r="H68" s="8"/>
      <c r="I68" s="11"/>
    </row>
    <row r="69" customFormat="false" ht="35.05" hidden="false" customHeight="false" outlineLevel="0" collapsed="false">
      <c r="A69" s="12" t="n">
        <v>68</v>
      </c>
      <c r="B69" s="12" t="s">
        <v>329</v>
      </c>
      <c r="C69" s="14" t="s">
        <v>366</v>
      </c>
      <c r="D69" s="13" t="s">
        <v>146</v>
      </c>
      <c r="E69" s="21" t="s">
        <v>144</v>
      </c>
      <c r="F69" s="14" t="s">
        <v>370</v>
      </c>
      <c r="G69" s="12"/>
      <c r="H69" s="12"/>
      <c r="I69" s="14"/>
    </row>
    <row r="70" customFormat="false" ht="23.85" hidden="false" customHeight="false" outlineLevel="0" collapsed="false">
      <c r="A70" s="8" t="n">
        <v>69</v>
      </c>
      <c r="B70" s="8" t="s">
        <v>329</v>
      </c>
      <c r="C70" s="11" t="s">
        <v>366</v>
      </c>
      <c r="D70" s="10" t="s">
        <v>371</v>
      </c>
      <c r="E70" s="20" t="s">
        <v>147</v>
      </c>
      <c r="F70" s="11" t="s">
        <v>372</v>
      </c>
      <c r="G70" s="8"/>
      <c r="H70" s="8"/>
      <c r="I70" s="11"/>
    </row>
    <row r="71" customFormat="false" ht="35.05" hidden="false" customHeight="false" outlineLevel="0" collapsed="false">
      <c r="A71" s="12" t="n">
        <v>70</v>
      </c>
      <c r="B71" s="12" t="s">
        <v>329</v>
      </c>
      <c r="C71" s="14" t="s">
        <v>366</v>
      </c>
      <c r="D71" s="13" t="s">
        <v>152</v>
      </c>
      <c r="E71" s="21" t="s">
        <v>150</v>
      </c>
      <c r="F71" s="14" t="s">
        <v>373</v>
      </c>
      <c r="G71" s="12"/>
      <c r="H71" s="12"/>
      <c r="I71" s="14"/>
    </row>
    <row r="72" customFormat="false" ht="23.85" hidden="false" customHeight="false" outlineLevel="0" collapsed="false">
      <c r="A72" s="8" t="n">
        <v>71</v>
      </c>
      <c r="B72" s="8" t="s">
        <v>329</v>
      </c>
      <c r="C72" s="11" t="s">
        <v>366</v>
      </c>
      <c r="D72" s="10" t="s">
        <v>374</v>
      </c>
      <c r="E72" s="20" t="s">
        <v>153</v>
      </c>
      <c r="F72" s="11" t="s">
        <v>375</v>
      </c>
      <c r="G72" s="8"/>
      <c r="H72" s="8"/>
      <c r="I72" s="11"/>
    </row>
    <row r="73" customFormat="false" ht="35.05" hidden="false" customHeight="false" outlineLevel="0" collapsed="false">
      <c r="A73" s="12" t="n">
        <v>72</v>
      </c>
      <c r="B73" s="12" t="s">
        <v>329</v>
      </c>
      <c r="C73" s="14" t="s">
        <v>366</v>
      </c>
      <c r="D73" s="13" t="s">
        <v>376</v>
      </c>
      <c r="E73" s="21" t="s">
        <v>153</v>
      </c>
      <c r="F73" s="14" t="s">
        <v>377</v>
      </c>
      <c r="G73" s="12"/>
      <c r="H73" s="12"/>
      <c r="I73" s="14"/>
    </row>
    <row r="74" customFormat="false" ht="35.05" hidden="false" customHeight="false" outlineLevel="0" collapsed="false">
      <c r="A74" s="8" t="n">
        <v>73</v>
      </c>
      <c r="B74" s="8" t="s">
        <v>329</v>
      </c>
      <c r="C74" s="11" t="s">
        <v>366</v>
      </c>
      <c r="D74" s="10" t="s">
        <v>378</v>
      </c>
      <c r="E74" s="20" t="s">
        <v>147</v>
      </c>
      <c r="F74" s="11" t="s">
        <v>379</v>
      </c>
      <c r="G74" s="8"/>
      <c r="H74" s="8"/>
      <c r="I74" s="11"/>
    </row>
    <row r="75" customFormat="false" ht="23.85" hidden="false" customHeight="false" outlineLevel="0" collapsed="false">
      <c r="A75" s="12" t="n">
        <v>74</v>
      </c>
      <c r="B75" s="12" t="s">
        <v>329</v>
      </c>
      <c r="C75" s="14" t="s">
        <v>366</v>
      </c>
      <c r="D75" s="13" t="s">
        <v>380</v>
      </c>
      <c r="E75" s="21" t="s">
        <v>162</v>
      </c>
      <c r="F75" s="14" t="s">
        <v>381</v>
      </c>
      <c r="G75" s="12"/>
      <c r="H75" s="12"/>
      <c r="I75" s="14"/>
    </row>
    <row r="76" customFormat="false" ht="35.05" hidden="false" customHeight="false" outlineLevel="0" collapsed="false">
      <c r="A76" s="8" t="n">
        <v>75</v>
      </c>
      <c r="B76" s="8" t="s">
        <v>329</v>
      </c>
      <c r="C76" s="11" t="s">
        <v>366</v>
      </c>
      <c r="D76" s="10" t="s">
        <v>382</v>
      </c>
      <c r="E76" s="20" t="s">
        <v>156</v>
      </c>
      <c r="F76" s="11" t="s">
        <v>383</v>
      </c>
      <c r="G76" s="8"/>
      <c r="H76" s="8"/>
      <c r="I76" s="11"/>
    </row>
    <row r="77" customFormat="false" ht="15" hidden="false" customHeight="false" outlineLevel="0" collapsed="false">
      <c r="A77" s="12" t="n">
        <v>76</v>
      </c>
      <c r="B77" s="12" t="s">
        <v>329</v>
      </c>
      <c r="C77" s="14" t="s">
        <v>366</v>
      </c>
      <c r="D77" s="13" t="s">
        <v>161</v>
      </c>
      <c r="E77" s="21" t="s">
        <v>159</v>
      </c>
      <c r="F77" s="14" t="s">
        <v>384</v>
      </c>
      <c r="G77" s="12"/>
      <c r="H77" s="12"/>
      <c r="I77" s="14"/>
    </row>
    <row r="78" customFormat="false" ht="23.85" hidden="false" customHeight="false" outlineLevel="0" collapsed="false">
      <c r="A78" s="8" t="n">
        <v>77</v>
      </c>
      <c r="B78" s="8" t="s">
        <v>329</v>
      </c>
      <c r="C78" s="11" t="s">
        <v>366</v>
      </c>
      <c r="D78" s="10" t="s">
        <v>385</v>
      </c>
      <c r="E78" s="20" t="s">
        <v>147</v>
      </c>
      <c r="F78" s="11" t="s">
        <v>386</v>
      </c>
      <c r="G78" s="8"/>
      <c r="H78" s="8"/>
      <c r="I78" s="11"/>
    </row>
    <row r="79" customFormat="false" ht="15" hidden="false" customHeight="false" outlineLevel="0" collapsed="false">
      <c r="A79" s="12" t="n">
        <v>78</v>
      </c>
      <c r="B79" s="12" t="s">
        <v>329</v>
      </c>
      <c r="C79" s="14" t="s">
        <v>366</v>
      </c>
      <c r="D79" s="13" t="s">
        <v>387</v>
      </c>
      <c r="E79" s="21" t="s">
        <v>156</v>
      </c>
      <c r="F79" s="14" t="s">
        <v>388</v>
      </c>
      <c r="G79" s="12"/>
      <c r="H79" s="12"/>
      <c r="I79" s="14"/>
    </row>
    <row r="80" customFormat="false" ht="15" hidden="false" customHeight="false" outlineLevel="0" collapsed="false">
      <c r="A80" s="8" t="n">
        <v>79</v>
      </c>
      <c r="B80" s="8" t="s">
        <v>329</v>
      </c>
      <c r="C80" s="11" t="s">
        <v>366</v>
      </c>
      <c r="D80" s="10" t="s">
        <v>169</v>
      </c>
      <c r="E80" s="20" t="s">
        <v>168</v>
      </c>
      <c r="F80" s="11" t="s">
        <v>389</v>
      </c>
      <c r="G80" s="8"/>
      <c r="H80" s="8"/>
      <c r="I80" s="11"/>
    </row>
    <row r="81" customFormat="false" ht="35.05" hidden="false" customHeight="false" outlineLevel="0" collapsed="false">
      <c r="A81" s="12" t="n">
        <v>80</v>
      </c>
      <c r="B81" s="12" t="s">
        <v>329</v>
      </c>
      <c r="C81" s="14" t="s">
        <v>366</v>
      </c>
      <c r="D81" s="13" t="s">
        <v>171</v>
      </c>
      <c r="E81" s="21" t="s">
        <v>170</v>
      </c>
      <c r="F81" s="14" t="s">
        <v>390</v>
      </c>
      <c r="G81" s="12"/>
      <c r="H81" s="12"/>
      <c r="I81" s="14"/>
    </row>
    <row r="82" customFormat="false" ht="35.05" hidden="false" customHeight="false" outlineLevel="0" collapsed="false">
      <c r="A82" s="8" t="n">
        <v>81</v>
      </c>
      <c r="B82" s="8" t="s">
        <v>329</v>
      </c>
      <c r="C82" s="11" t="s">
        <v>366</v>
      </c>
      <c r="D82" s="10" t="s">
        <v>391</v>
      </c>
      <c r="E82" s="20" t="s">
        <v>172</v>
      </c>
      <c r="F82" s="11" t="s">
        <v>392</v>
      </c>
      <c r="G82" s="8"/>
      <c r="H82" s="8"/>
      <c r="I82" s="11"/>
    </row>
    <row r="83" customFormat="false" ht="35.05" hidden="false" customHeight="false" outlineLevel="0" collapsed="false">
      <c r="A83" s="12" t="n">
        <v>82</v>
      </c>
      <c r="B83" s="12" t="s">
        <v>329</v>
      </c>
      <c r="C83" s="14" t="s">
        <v>366</v>
      </c>
      <c r="D83" s="13" t="s">
        <v>393</v>
      </c>
      <c r="E83" s="21" t="s">
        <v>172</v>
      </c>
      <c r="F83" s="14" t="s">
        <v>394</v>
      </c>
      <c r="G83" s="12"/>
      <c r="H83" s="12"/>
      <c r="I83" s="14"/>
    </row>
    <row r="84" customFormat="false" ht="35.05" hidden="false" customHeight="false" outlineLevel="0" collapsed="false">
      <c r="A84" s="8" t="n">
        <v>83</v>
      </c>
      <c r="B84" s="8" t="s">
        <v>329</v>
      </c>
      <c r="C84" s="11" t="s">
        <v>366</v>
      </c>
      <c r="D84" s="10" t="s">
        <v>395</v>
      </c>
      <c r="E84" s="20" t="s">
        <v>138</v>
      </c>
      <c r="F84" s="11" t="s">
        <v>396</v>
      </c>
      <c r="G84" s="8"/>
      <c r="H84" s="8"/>
      <c r="I84" s="11"/>
    </row>
    <row r="85" customFormat="false" ht="23.85" hidden="false" customHeight="false" outlineLevel="0" collapsed="false">
      <c r="A85" s="12" t="n">
        <v>84</v>
      </c>
      <c r="B85" s="12" t="s">
        <v>329</v>
      </c>
      <c r="C85" s="14" t="s">
        <v>397</v>
      </c>
      <c r="D85" s="13" t="s">
        <v>398</v>
      </c>
      <c r="E85" s="21" t="s">
        <v>162</v>
      </c>
      <c r="F85" s="14" t="s">
        <v>399</v>
      </c>
      <c r="G85" s="12"/>
      <c r="H85" s="12"/>
      <c r="I85" s="14"/>
    </row>
    <row r="86" customFormat="false" ht="35.05" hidden="false" customHeight="false" outlineLevel="0" collapsed="false">
      <c r="A86" s="8" t="n">
        <v>85</v>
      </c>
      <c r="B86" s="8" t="s">
        <v>329</v>
      </c>
      <c r="C86" s="11" t="s">
        <v>397</v>
      </c>
      <c r="D86" s="10" t="s">
        <v>400</v>
      </c>
      <c r="E86" s="20" t="s">
        <v>162</v>
      </c>
      <c r="F86" s="11" t="s">
        <v>401</v>
      </c>
      <c r="G86" s="8"/>
      <c r="H86" s="8"/>
      <c r="I86" s="11"/>
    </row>
    <row r="87" customFormat="false" ht="23.85" hidden="false" customHeight="false" outlineLevel="0" collapsed="false">
      <c r="A87" s="12" t="n">
        <v>86</v>
      </c>
      <c r="B87" s="12" t="s">
        <v>329</v>
      </c>
      <c r="C87" s="14" t="s">
        <v>397</v>
      </c>
      <c r="D87" s="13" t="s">
        <v>167</v>
      </c>
      <c r="E87" s="21" t="s">
        <v>165</v>
      </c>
      <c r="F87" s="14" t="s">
        <v>402</v>
      </c>
      <c r="G87" s="12"/>
      <c r="H87" s="12"/>
      <c r="I87" s="14"/>
    </row>
    <row r="88" customFormat="false" ht="35.05" hidden="false" customHeight="false" outlineLevel="0" collapsed="false">
      <c r="A88" s="8" t="n">
        <v>87</v>
      </c>
      <c r="B88" s="8" t="s">
        <v>403</v>
      </c>
      <c r="C88" s="11" t="s">
        <v>404</v>
      </c>
      <c r="D88" s="10" t="s">
        <v>203</v>
      </c>
      <c r="E88" s="20" t="s">
        <v>200</v>
      </c>
      <c r="F88" s="11" t="s">
        <v>405</v>
      </c>
      <c r="G88" s="8"/>
      <c r="H88" s="8"/>
      <c r="I88" s="11"/>
    </row>
    <row r="89" customFormat="false" ht="35.05" hidden="false" customHeight="false" outlineLevel="0" collapsed="false">
      <c r="A89" s="12" t="n">
        <v>88</v>
      </c>
      <c r="B89" s="12" t="s">
        <v>403</v>
      </c>
      <c r="C89" s="14" t="s">
        <v>404</v>
      </c>
      <c r="D89" s="13" t="s">
        <v>206</v>
      </c>
      <c r="E89" s="21" t="s">
        <v>204</v>
      </c>
      <c r="F89" s="14" t="s">
        <v>406</v>
      </c>
      <c r="G89" s="12"/>
      <c r="H89" s="12"/>
      <c r="I89" s="14"/>
    </row>
    <row r="90" customFormat="false" ht="46.25" hidden="false" customHeight="false" outlineLevel="0" collapsed="false">
      <c r="A90" s="8" t="n">
        <v>89</v>
      </c>
      <c r="B90" s="8" t="s">
        <v>403</v>
      </c>
      <c r="C90" s="11" t="s">
        <v>404</v>
      </c>
      <c r="D90" s="10" t="s">
        <v>407</v>
      </c>
      <c r="E90" s="20" t="s">
        <v>207</v>
      </c>
      <c r="F90" s="11" t="s">
        <v>408</v>
      </c>
      <c r="G90" s="8"/>
      <c r="H90" s="8"/>
      <c r="I90" s="11"/>
    </row>
    <row r="91" customFormat="false" ht="35.05" hidden="false" customHeight="false" outlineLevel="0" collapsed="false">
      <c r="A91" s="12" t="n">
        <v>90</v>
      </c>
      <c r="B91" s="12" t="s">
        <v>403</v>
      </c>
      <c r="C91" s="14" t="s">
        <v>404</v>
      </c>
      <c r="D91" s="13" t="s">
        <v>409</v>
      </c>
      <c r="E91" s="21" t="s">
        <v>207</v>
      </c>
      <c r="F91" s="14" t="s">
        <v>410</v>
      </c>
      <c r="G91" s="12"/>
      <c r="H91" s="12"/>
      <c r="I91" s="14"/>
    </row>
    <row r="92" customFormat="false" ht="46.25" hidden="false" customHeight="false" outlineLevel="0" collapsed="false">
      <c r="A92" s="8" t="n">
        <v>91</v>
      </c>
      <c r="B92" s="8" t="s">
        <v>403</v>
      </c>
      <c r="C92" s="11" t="s">
        <v>404</v>
      </c>
      <c r="D92" s="10" t="s">
        <v>212</v>
      </c>
      <c r="E92" s="20" t="s">
        <v>210</v>
      </c>
      <c r="F92" s="11" t="s">
        <v>411</v>
      </c>
      <c r="G92" s="8"/>
      <c r="H92" s="8"/>
      <c r="I92" s="11"/>
    </row>
    <row r="93" customFormat="false" ht="35.05" hidden="false" customHeight="false" outlineLevel="0" collapsed="false">
      <c r="A93" s="12" t="n">
        <v>92</v>
      </c>
      <c r="B93" s="12" t="s">
        <v>403</v>
      </c>
      <c r="C93" s="14" t="s">
        <v>404</v>
      </c>
      <c r="D93" s="13" t="s">
        <v>215</v>
      </c>
      <c r="E93" s="21" t="s">
        <v>213</v>
      </c>
      <c r="F93" s="14" t="s">
        <v>412</v>
      </c>
      <c r="G93" s="12"/>
      <c r="H93" s="12"/>
      <c r="I93" s="14"/>
    </row>
    <row r="94" customFormat="false" ht="23.85" hidden="false" customHeight="false" outlineLevel="0" collapsed="false">
      <c r="A94" s="8" t="n">
        <v>93</v>
      </c>
      <c r="B94" s="8" t="s">
        <v>403</v>
      </c>
      <c r="C94" s="11" t="s">
        <v>404</v>
      </c>
      <c r="D94" s="10" t="s">
        <v>218</v>
      </c>
      <c r="E94" s="20" t="s">
        <v>216</v>
      </c>
      <c r="F94" s="11" t="s">
        <v>413</v>
      </c>
      <c r="G94" s="8"/>
      <c r="H94" s="8"/>
      <c r="I94" s="11"/>
    </row>
    <row r="95" customFormat="false" ht="23.85" hidden="false" customHeight="false" outlineLevel="0" collapsed="false">
      <c r="A95" s="12" t="n">
        <v>94</v>
      </c>
      <c r="B95" s="12" t="s">
        <v>403</v>
      </c>
      <c r="C95" s="14" t="s">
        <v>404</v>
      </c>
      <c r="D95" s="13" t="s">
        <v>414</v>
      </c>
      <c r="E95" s="21" t="s">
        <v>219</v>
      </c>
      <c r="F95" s="14" t="s">
        <v>415</v>
      </c>
      <c r="G95" s="12"/>
      <c r="H95" s="12"/>
      <c r="I95" s="14"/>
    </row>
    <row r="96" customFormat="false" ht="23.85" hidden="false" customHeight="false" outlineLevel="0" collapsed="false">
      <c r="A96" s="8" t="n">
        <v>95</v>
      </c>
      <c r="B96" s="8" t="s">
        <v>403</v>
      </c>
      <c r="C96" s="11" t="s">
        <v>404</v>
      </c>
      <c r="D96" s="10" t="s">
        <v>416</v>
      </c>
      <c r="E96" s="20" t="s">
        <v>219</v>
      </c>
      <c r="F96" s="11" t="s">
        <v>417</v>
      </c>
      <c r="G96" s="8"/>
      <c r="H96" s="8"/>
      <c r="I96" s="11"/>
    </row>
    <row r="97" customFormat="false" ht="35.05" hidden="false" customHeight="false" outlineLevel="0" collapsed="false">
      <c r="A97" s="12" t="n">
        <v>96</v>
      </c>
      <c r="B97" s="12" t="s">
        <v>403</v>
      </c>
      <c r="C97" s="14" t="s">
        <v>404</v>
      </c>
      <c r="D97" s="13" t="s">
        <v>418</v>
      </c>
      <c r="E97" s="21" t="s">
        <v>222</v>
      </c>
      <c r="F97" s="14" t="s">
        <v>419</v>
      </c>
      <c r="G97" s="12"/>
      <c r="H97" s="12"/>
      <c r="I97" s="14"/>
    </row>
    <row r="98" customFormat="false" ht="35.05" hidden="false" customHeight="false" outlineLevel="0" collapsed="false">
      <c r="A98" s="8" t="n">
        <v>97</v>
      </c>
      <c r="B98" s="8" t="s">
        <v>403</v>
      </c>
      <c r="C98" s="11" t="s">
        <v>404</v>
      </c>
      <c r="D98" s="10" t="s">
        <v>420</v>
      </c>
      <c r="E98" s="20" t="s">
        <v>222</v>
      </c>
      <c r="F98" s="11" t="s">
        <v>421</v>
      </c>
      <c r="G98" s="8"/>
      <c r="H98" s="8"/>
      <c r="I98" s="11"/>
    </row>
    <row r="99" customFormat="false" ht="23.85" hidden="false" customHeight="false" outlineLevel="0" collapsed="false">
      <c r="A99" s="12" t="n">
        <v>98</v>
      </c>
      <c r="B99" s="12" t="s">
        <v>403</v>
      </c>
      <c r="C99" s="14" t="s">
        <v>404</v>
      </c>
      <c r="D99" s="13" t="s">
        <v>422</v>
      </c>
      <c r="E99" s="21" t="s">
        <v>222</v>
      </c>
      <c r="F99" s="14" t="s">
        <v>423</v>
      </c>
      <c r="G99" s="12"/>
      <c r="H99" s="12"/>
      <c r="I99" s="14"/>
    </row>
    <row r="100" customFormat="false" ht="23.85" hidden="false" customHeight="false" outlineLevel="0" collapsed="false">
      <c r="A100" s="8" t="n">
        <v>99</v>
      </c>
      <c r="B100" s="8" t="s">
        <v>424</v>
      </c>
      <c r="C100" s="11" t="s">
        <v>425</v>
      </c>
      <c r="D100" s="10" t="s">
        <v>178</v>
      </c>
      <c r="E100" s="20" t="s">
        <v>175</v>
      </c>
      <c r="F100" s="11" t="s">
        <v>426</v>
      </c>
      <c r="G100" s="8"/>
      <c r="H100" s="8"/>
      <c r="I100" s="11"/>
    </row>
    <row r="101" customFormat="false" ht="35.05" hidden="false" customHeight="false" outlineLevel="0" collapsed="false">
      <c r="A101" s="12" t="n">
        <v>100</v>
      </c>
      <c r="B101" s="12" t="s">
        <v>424</v>
      </c>
      <c r="C101" s="14" t="s">
        <v>425</v>
      </c>
      <c r="D101" s="13" t="s">
        <v>427</v>
      </c>
      <c r="E101" s="21" t="s">
        <v>179</v>
      </c>
      <c r="F101" s="14" t="s">
        <v>428</v>
      </c>
      <c r="G101" s="12"/>
      <c r="H101" s="12"/>
      <c r="I101" s="14"/>
    </row>
    <row r="102" customFormat="false" ht="35.05" hidden="false" customHeight="false" outlineLevel="0" collapsed="false">
      <c r="A102" s="8" t="n">
        <v>101</v>
      </c>
      <c r="B102" s="8" t="s">
        <v>424</v>
      </c>
      <c r="C102" s="11" t="s">
        <v>425</v>
      </c>
      <c r="D102" s="10" t="s">
        <v>429</v>
      </c>
      <c r="E102" s="20" t="s">
        <v>179</v>
      </c>
      <c r="F102" s="11" t="s">
        <v>430</v>
      </c>
      <c r="G102" s="8"/>
      <c r="H102" s="8"/>
      <c r="I102" s="11"/>
    </row>
    <row r="103" customFormat="false" ht="23.85" hidden="false" customHeight="false" outlineLevel="0" collapsed="false">
      <c r="A103" s="12" t="n">
        <v>102</v>
      </c>
      <c r="B103" s="12" t="s">
        <v>424</v>
      </c>
      <c r="C103" s="14" t="s">
        <v>425</v>
      </c>
      <c r="D103" s="13" t="s">
        <v>184</v>
      </c>
      <c r="E103" s="21" t="s">
        <v>182</v>
      </c>
      <c r="F103" s="14" t="s">
        <v>431</v>
      </c>
      <c r="G103" s="12"/>
      <c r="H103" s="12"/>
      <c r="I103" s="14"/>
    </row>
    <row r="104" customFormat="false" ht="23.85" hidden="false" customHeight="false" outlineLevel="0" collapsed="false">
      <c r="A104" s="8" t="n">
        <v>103</v>
      </c>
      <c r="B104" s="8" t="s">
        <v>424</v>
      </c>
      <c r="C104" s="11" t="s">
        <v>425</v>
      </c>
      <c r="D104" s="10" t="s">
        <v>432</v>
      </c>
      <c r="E104" s="20" t="s">
        <v>185</v>
      </c>
      <c r="F104" s="11" t="s">
        <v>433</v>
      </c>
      <c r="G104" s="8"/>
      <c r="H104" s="8"/>
      <c r="I104" s="11"/>
    </row>
    <row r="105" customFormat="false" ht="23.85" hidden="false" customHeight="false" outlineLevel="0" collapsed="false">
      <c r="A105" s="12" t="n">
        <v>104</v>
      </c>
      <c r="B105" s="12" t="s">
        <v>424</v>
      </c>
      <c r="C105" s="14" t="s">
        <v>425</v>
      </c>
      <c r="D105" s="13" t="s">
        <v>434</v>
      </c>
      <c r="E105" s="21" t="s">
        <v>185</v>
      </c>
      <c r="F105" s="14" t="s">
        <v>435</v>
      </c>
      <c r="G105" s="12"/>
      <c r="H105" s="12"/>
      <c r="I105" s="14"/>
    </row>
    <row r="106" customFormat="false" ht="23.85" hidden="false" customHeight="false" outlineLevel="0" collapsed="false">
      <c r="A106" s="8" t="n">
        <v>105</v>
      </c>
      <c r="B106" s="8" t="s">
        <v>424</v>
      </c>
      <c r="C106" s="11" t="s">
        <v>425</v>
      </c>
      <c r="D106" s="10" t="s">
        <v>190</v>
      </c>
      <c r="E106" s="20" t="s">
        <v>188</v>
      </c>
      <c r="F106" s="11" t="s">
        <v>436</v>
      </c>
      <c r="G106" s="8"/>
      <c r="H106" s="8"/>
      <c r="I106" s="11"/>
    </row>
    <row r="107" customFormat="false" ht="35.05" hidden="false" customHeight="false" outlineLevel="0" collapsed="false">
      <c r="A107" s="12" t="n">
        <v>106</v>
      </c>
      <c r="B107" s="12" t="s">
        <v>424</v>
      </c>
      <c r="C107" s="14" t="s">
        <v>425</v>
      </c>
      <c r="D107" s="13" t="s">
        <v>193</v>
      </c>
      <c r="E107" s="21" t="s">
        <v>191</v>
      </c>
      <c r="F107" s="14" t="s">
        <v>437</v>
      </c>
      <c r="G107" s="12"/>
      <c r="H107" s="12"/>
      <c r="I107" s="14"/>
    </row>
    <row r="108" customFormat="false" ht="23.85" hidden="false" customHeight="false" outlineLevel="0" collapsed="false">
      <c r="A108" s="8" t="n">
        <v>107</v>
      </c>
      <c r="B108" s="8" t="s">
        <v>424</v>
      </c>
      <c r="C108" s="11" t="s">
        <v>425</v>
      </c>
      <c r="D108" s="10" t="s">
        <v>196</v>
      </c>
      <c r="E108" s="20" t="s">
        <v>194</v>
      </c>
      <c r="F108" s="11" t="s">
        <v>438</v>
      </c>
      <c r="G108" s="8"/>
      <c r="H108" s="8"/>
      <c r="I108" s="11"/>
    </row>
    <row r="109" customFormat="false" ht="23.85" hidden="false" customHeight="false" outlineLevel="0" collapsed="false">
      <c r="A109" s="12" t="n">
        <v>108</v>
      </c>
      <c r="B109" s="12" t="s">
        <v>424</v>
      </c>
      <c r="C109" s="14" t="s">
        <v>425</v>
      </c>
      <c r="D109" s="13" t="s">
        <v>199</v>
      </c>
      <c r="E109" s="21" t="s">
        <v>197</v>
      </c>
      <c r="F109" s="14" t="s">
        <v>439</v>
      </c>
      <c r="G109" s="12"/>
      <c r="H109" s="12"/>
      <c r="I109" s="14"/>
    </row>
  </sheetData>
  <autoFilter ref="A1:I109"/>
  <dataValidations count="2">
    <dataValidation allowBlank="true" errorStyle="stop" operator="between" showDropDown="false" showErrorMessage="false" showInputMessage="false" sqref="G2:G109" type="list">
      <formula1>"1,2,3,4"</formula1>
      <formula2>0</formula2>
    </dataValidation>
    <dataValidation allowBlank="true" errorStyle="stop" operator="between" showDropDown="false" showErrorMessage="false" showInputMessage="false" sqref="H2:H109" type="list">
      <formula1>"Not started,Learning,Practicing,Mastered"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82"/>
    <col collapsed="false" customWidth="true" hidden="false" outlineLevel="0" max="4" min="4" style="0" width="12"/>
    <col collapsed="false" customWidth="true" hidden="false" outlineLevel="0" max="5" min="5" style="0" width="28"/>
  </cols>
  <sheetData>
    <row r="1" customFormat="false" ht="25.5" hidden="false" customHeight="true" outlineLevel="0" collapsed="false">
      <c r="A1" s="7" t="s">
        <v>440</v>
      </c>
      <c r="B1" s="7" t="s">
        <v>441</v>
      </c>
      <c r="C1" s="7" t="s">
        <v>442</v>
      </c>
      <c r="D1" s="7" t="s">
        <v>443</v>
      </c>
      <c r="E1" s="7" t="s">
        <v>30</v>
      </c>
    </row>
    <row r="2" customFormat="false" ht="46.25" hidden="false" customHeight="false" outlineLevel="0" collapsed="false">
      <c r="A2" s="22" t="s">
        <v>444</v>
      </c>
      <c r="B2" s="22" t="s">
        <v>445</v>
      </c>
      <c r="C2" s="23" t="s">
        <v>446</v>
      </c>
      <c r="D2" s="22"/>
      <c r="E2" s="23"/>
    </row>
    <row r="3" customFormat="false" ht="23.85" hidden="false" customHeight="false" outlineLevel="0" collapsed="false">
      <c r="A3" s="12" t="s">
        <v>444</v>
      </c>
      <c r="B3" s="12" t="s">
        <v>447</v>
      </c>
      <c r="C3" s="14" t="s">
        <v>448</v>
      </c>
      <c r="D3" s="12"/>
      <c r="E3" s="14"/>
    </row>
    <row r="4" customFormat="false" ht="23.85" hidden="false" customHeight="false" outlineLevel="0" collapsed="false">
      <c r="A4" s="12" t="s">
        <v>444</v>
      </c>
      <c r="B4" s="12" t="s">
        <v>449</v>
      </c>
      <c r="C4" s="14" t="s">
        <v>450</v>
      </c>
      <c r="D4" s="12"/>
      <c r="E4" s="14"/>
    </row>
    <row r="5" customFormat="false" ht="23.85" hidden="false" customHeight="false" outlineLevel="0" collapsed="false">
      <c r="A5" s="12" t="s">
        <v>444</v>
      </c>
      <c r="B5" s="12" t="s">
        <v>451</v>
      </c>
      <c r="C5" s="14" t="s">
        <v>452</v>
      </c>
      <c r="D5" s="12"/>
      <c r="E5" s="14"/>
    </row>
    <row r="6" customFormat="false" ht="15" hidden="false" customHeight="false" outlineLevel="0" collapsed="false">
      <c r="A6" s="12" t="s">
        <v>444</v>
      </c>
      <c r="B6" s="12" t="s">
        <v>453</v>
      </c>
      <c r="C6" s="14" t="s">
        <v>454</v>
      </c>
      <c r="D6" s="12"/>
      <c r="E6" s="14"/>
    </row>
    <row r="7" customFormat="false" ht="15" hidden="false" customHeight="false" outlineLevel="0" collapsed="false">
      <c r="A7" s="12" t="s">
        <v>444</v>
      </c>
      <c r="B7" s="12" t="s">
        <v>455</v>
      </c>
      <c r="C7" s="14" t="s">
        <v>456</v>
      </c>
      <c r="D7" s="12"/>
      <c r="E7" s="14"/>
    </row>
    <row r="8" customFormat="false" ht="23.85" hidden="false" customHeight="false" outlineLevel="0" collapsed="false">
      <c r="A8" s="12" t="s">
        <v>444</v>
      </c>
      <c r="B8" s="12" t="s">
        <v>457</v>
      </c>
      <c r="C8" s="14" t="s">
        <v>458</v>
      </c>
      <c r="D8" s="12"/>
      <c r="E8" s="14"/>
    </row>
    <row r="9" customFormat="false" ht="35.05" hidden="false" customHeight="false" outlineLevel="0" collapsed="false">
      <c r="A9" s="24" t="s">
        <v>444</v>
      </c>
      <c r="B9" s="24" t="s">
        <v>459</v>
      </c>
      <c r="C9" s="25" t="s">
        <v>460</v>
      </c>
      <c r="D9" s="24"/>
      <c r="E9" s="25"/>
    </row>
    <row r="10" customFormat="false" ht="35.05" hidden="false" customHeight="false" outlineLevel="0" collapsed="false">
      <c r="A10" s="22" t="s">
        <v>461</v>
      </c>
      <c r="B10" s="22" t="s">
        <v>445</v>
      </c>
      <c r="C10" s="23" t="s">
        <v>462</v>
      </c>
      <c r="D10" s="22"/>
      <c r="E10" s="23"/>
    </row>
    <row r="11" customFormat="false" ht="23.85" hidden="false" customHeight="false" outlineLevel="0" collapsed="false">
      <c r="A11" s="12" t="s">
        <v>461</v>
      </c>
      <c r="B11" s="12" t="s">
        <v>447</v>
      </c>
      <c r="C11" s="14" t="s">
        <v>463</v>
      </c>
      <c r="D11" s="12"/>
      <c r="E11" s="14"/>
    </row>
    <row r="12" customFormat="false" ht="23.85" hidden="false" customHeight="false" outlineLevel="0" collapsed="false">
      <c r="A12" s="12" t="s">
        <v>461</v>
      </c>
      <c r="B12" s="12" t="s">
        <v>449</v>
      </c>
      <c r="C12" s="14" t="s">
        <v>464</v>
      </c>
      <c r="D12" s="12"/>
      <c r="E12" s="14"/>
    </row>
    <row r="13" customFormat="false" ht="15" hidden="false" customHeight="false" outlineLevel="0" collapsed="false">
      <c r="A13" s="12" t="s">
        <v>461</v>
      </c>
      <c r="B13" s="12" t="s">
        <v>451</v>
      </c>
      <c r="C13" s="14" t="s">
        <v>465</v>
      </c>
      <c r="D13" s="12"/>
      <c r="E13" s="14"/>
    </row>
    <row r="14" customFormat="false" ht="15" hidden="false" customHeight="false" outlineLevel="0" collapsed="false">
      <c r="A14" s="12" t="s">
        <v>461</v>
      </c>
      <c r="B14" s="12" t="s">
        <v>453</v>
      </c>
      <c r="C14" s="14" t="s">
        <v>466</v>
      </c>
      <c r="D14" s="12"/>
      <c r="E14" s="14"/>
    </row>
    <row r="15" customFormat="false" ht="15" hidden="false" customHeight="false" outlineLevel="0" collapsed="false">
      <c r="A15" s="12" t="s">
        <v>461</v>
      </c>
      <c r="B15" s="12" t="s">
        <v>455</v>
      </c>
      <c r="C15" s="14" t="s">
        <v>467</v>
      </c>
      <c r="D15" s="12"/>
      <c r="E15" s="14"/>
    </row>
    <row r="16" customFormat="false" ht="15" hidden="false" customHeight="false" outlineLevel="0" collapsed="false">
      <c r="A16" s="12" t="s">
        <v>461</v>
      </c>
      <c r="B16" s="12" t="s">
        <v>457</v>
      </c>
      <c r="C16" s="14" t="s">
        <v>468</v>
      </c>
      <c r="D16" s="12"/>
      <c r="E16" s="14"/>
    </row>
    <row r="17" customFormat="false" ht="23.85" hidden="false" customHeight="false" outlineLevel="0" collapsed="false">
      <c r="A17" s="12" t="s">
        <v>461</v>
      </c>
      <c r="B17" s="12" t="s">
        <v>469</v>
      </c>
      <c r="C17" s="14" t="s">
        <v>470</v>
      </c>
      <c r="D17" s="12"/>
      <c r="E17" s="14"/>
    </row>
    <row r="18" customFormat="false" ht="35.05" hidden="false" customHeight="false" outlineLevel="0" collapsed="false">
      <c r="A18" s="24" t="s">
        <v>461</v>
      </c>
      <c r="B18" s="24" t="s">
        <v>459</v>
      </c>
      <c r="C18" s="25" t="s">
        <v>471</v>
      </c>
      <c r="D18" s="24"/>
      <c r="E18" s="25"/>
    </row>
    <row r="19" customFormat="false" ht="35.05" hidden="false" customHeight="false" outlineLevel="0" collapsed="false">
      <c r="A19" s="22" t="s">
        <v>472</v>
      </c>
      <c r="B19" s="22" t="s">
        <v>445</v>
      </c>
      <c r="C19" s="23" t="s">
        <v>473</v>
      </c>
      <c r="D19" s="22"/>
      <c r="E19" s="23"/>
    </row>
    <row r="20" customFormat="false" ht="23.85" hidden="false" customHeight="false" outlineLevel="0" collapsed="false">
      <c r="A20" s="12" t="s">
        <v>472</v>
      </c>
      <c r="B20" s="12" t="s">
        <v>447</v>
      </c>
      <c r="C20" s="14" t="s">
        <v>474</v>
      </c>
      <c r="D20" s="12"/>
      <c r="E20" s="14"/>
    </row>
    <row r="21" customFormat="false" ht="23.85" hidden="false" customHeight="false" outlineLevel="0" collapsed="false">
      <c r="A21" s="12" t="s">
        <v>472</v>
      </c>
      <c r="B21" s="12" t="s">
        <v>449</v>
      </c>
      <c r="C21" s="14" t="s">
        <v>475</v>
      </c>
      <c r="D21" s="12"/>
      <c r="E21" s="14"/>
    </row>
    <row r="22" customFormat="false" ht="23.85" hidden="false" customHeight="false" outlineLevel="0" collapsed="false">
      <c r="A22" s="12" t="s">
        <v>472</v>
      </c>
      <c r="B22" s="12" t="s">
        <v>451</v>
      </c>
      <c r="C22" s="14" t="s">
        <v>476</v>
      </c>
      <c r="D22" s="12"/>
      <c r="E22" s="14"/>
    </row>
    <row r="23" customFormat="false" ht="15" hidden="false" customHeight="false" outlineLevel="0" collapsed="false">
      <c r="A23" s="12" t="s">
        <v>472</v>
      </c>
      <c r="B23" s="12" t="s">
        <v>453</v>
      </c>
      <c r="C23" s="14" t="s">
        <v>477</v>
      </c>
      <c r="D23" s="12"/>
      <c r="E23" s="14"/>
    </row>
    <row r="24" customFormat="false" ht="23.85" hidden="false" customHeight="false" outlineLevel="0" collapsed="false">
      <c r="A24" s="24" t="s">
        <v>472</v>
      </c>
      <c r="B24" s="24" t="s">
        <v>459</v>
      </c>
      <c r="C24" s="25" t="s">
        <v>478</v>
      </c>
      <c r="D24" s="24"/>
      <c r="E24" s="25"/>
    </row>
    <row r="25" customFormat="false" ht="46.25" hidden="false" customHeight="false" outlineLevel="0" collapsed="false">
      <c r="A25" s="22" t="s">
        <v>479</v>
      </c>
      <c r="B25" s="22" t="s">
        <v>445</v>
      </c>
      <c r="C25" s="23" t="s">
        <v>480</v>
      </c>
      <c r="D25" s="22"/>
      <c r="E25" s="23"/>
    </row>
    <row r="26" customFormat="false" ht="23.85" hidden="false" customHeight="false" outlineLevel="0" collapsed="false">
      <c r="A26" s="12" t="s">
        <v>479</v>
      </c>
      <c r="B26" s="12" t="s">
        <v>447</v>
      </c>
      <c r="C26" s="14" t="s">
        <v>481</v>
      </c>
      <c r="D26" s="12"/>
      <c r="E26" s="14"/>
    </row>
    <row r="27" customFormat="false" ht="23.85" hidden="false" customHeight="false" outlineLevel="0" collapsed="false">
      <c r="A27" s="12" t="s">
        <v>479</v>
      </c>
      <c r="B27" s="12" t="s">
        <v>449</v>
      </c>
      <c r="C27" s="14" t="s">
        <v>482</v>
      </c>
      <c r="D27" s="12"/>
      <c r="E27" s="14"/>
    </row>
    <row r="28" customFormat="false" ht="23.85" hidden="false" customHeight="false" outlineLevel="0" collapsed="false">
      <c r="A28" s="12" t="s">
        <v>479</v>
      </c>
      <c r="B28" s="12" t="s">
        <v>451</v>
      </c>
      <c r="C28" s="14" t="s">
        <v>483</v>
      </c>
      <c r="D28" s="12"/>
      <c r="E28" s="14"/>
    </row>
    <row r="29" customFormat="false" ht="23.85" hidden="false" customHeight="false" outlineLevel="0" collapsed="false">
      <c r="A29" s="12" t="s">
        <v>479</v>
      </c>
      <c r="B29" s="12" t="s">
        <v>453</v>
      </c>
      <c r="C29" s="14" t="s">
        <v>484</v>
      </c>
      <c r="D29" s="12"/>
      <c r="E29" s="14"/>
    </row>
    <row r="30" customFormat="false" ht="23.85" hidden="false" customHeight="false" outlineLevel="0" collapsed="false">
      <c r="A30" s="12" t="s">
        <v>479</v>
      </c>
      <c r="B30" s="12" t="s">
        <v>455</v>
      </c>
      <c r="C30" s="14" t="s">
        <v>485</v>
      </c>
      <c r="D30" s="12"/>
      <c r="E30" s="14"/>
    </row>
    <row r="31" customFormat="false" ht="35.05" hidden="false" customHeight="false" outlineLevel="0" collapsed="false">
      <c r="A31" s="24" t="s">
        <v>479</v>
      </c>
      <c r="B31" s="24" t="s">
        <v>459</v>
      </c>
      <c r="C31" s="25" t="s">
        <v>486</v>
      </c>
      <c r="D31" s="24"/>
      <c r="E31" s="25"/>
    </row>
    <row r="32" customFormat="false" ht="35.05" hidden="false" customHeight="false" outlineLevel="0" collapsed="false">
      <c r="A32" s="22" t="s">
        <v>487</v>
      </c>
      <c r="B32" s="22" t="s">
        <v>445</v>
      </c>
      <c r="C32" s="23" t="s">
        <v>488</v>
      </c>
      <c r="D32" s="22"/>
      <c r="E32" s="23"/>
    </row>
    <row r="33" customFormat="false" ht="23.85" hidden="false" customHeight="false" outlineLevel="0" collapsed="false">
      <c r="A33" s="12" t="s">
        <v>487</v>
      </c>
      <c r="B33" s="12" t="s">
        <v>447</v>
      </c>
      <c r="C33" s="14" t="s">
        <v>489</v>
      </c>
      <c r="D33" s="12"/>
      <c r="E33" s="14"/>
    </row>
    <row r="34" customFormat="false" ht="23.85" hidden="false" customHeight="false" outlineLevel="0" collapsed="false">
      <c r="A34" s="12" t="s">
        <v>487</v>
      </c>
      <c r="B34" s="12" t="s">
        <v>449</v>
      </c>
      <c r="C34" s="14" t="s">
        <v>490</v>
      </c>
      <c r="D34" s="12"/>
      <c r="E34" s="14"/>
    </row>
    <row r="35" customFormat="false" ht="23.85" hidden="false" customHeight="false" outlineLevel="0" collapsed="false">
      <c r="A35" s="12" t="s">
        <v>487</v>
      </c>
      <c r="B35" s="12" t="s">
        <v>451</v>
      </c>
      <c r="C35" s="14" t="s">
        <v>491</v>
      </c>
      <c r="D35" s="12"/>
      <c r="E35" s="14"/>
    </row>
    <row r="36" customFormat="false" ht="23.85" hidden="false" customHeight="false" outlineLevel="0" collapsed="false">
      <c r="A36" s="12" t="s">
        <v>487</v>
      </c>
      <c r="B36" s="12" t="s">
        <v>453</v>
      </c>
      <c r="C36" s="14" t="s">
        <v>492</v>
      </c>
      <c r="D36" s="12"/>
      <c r="E36" s="14"/>
    </row>
    <row r="37" customFormat="false" ht="23.85" hidden="false" customHeight="false" outlineLevel="0" collapsed="false">
      <c r="A37" s="24" t="s">
        <v>487</v>
      </c>
      <c r="B37" s="24" t="s">
        <v>459</v>
      </c>
      <c r="C37" s="25" t="s">
        <v>493</v>
      </c>
      <c r="D37" s="24"/>
      <c r="E37" s="25"/>
    </row>
  </sheetData>
  <autoFilter ref="A1:E37"/>
  <dataValidations count="1">
    <dataValidation allowBlank="true" errorStyle="stop" operator="between" showDropDown="false" showErrorMessage="false" showInputMessage="false" sqref="D2:D3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2"/>
    <col collapsed="false" customWidth="true" hidden="false" outlineLevel="0" max="3" min="3" style="0" width="12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7" t="s">
        <v>494</v>
      </c>
      <c r="B1" s="7" t="s">
        <v>495</v>
      </c>
      <c r="C1" s="7" t="s">
        <v>496</v>
      </c>
      <c r="D1" s="7" t="s">
        <v>30</v>
      </c>
    </row>
    <row r="2" customFormat="false" ht="15" hidden="false" customHeight="false" outlineLevel="0" collapsed="false">
      <c r="A2" s="11" t="s">
        <v>497</v>
      </c>
      <c r="B2" s="11" t="s">
        <v>498</v>
      </c>
      <c r="C2" s="8"/>
      <c r="D2" s="11"/>
    </row>
    <row r="3" customFormat="false" ht="15" hidden="false" customHeight="false" outlineLevel="0" collapsed="false">
      <c r="A3" s="14" t="s">
        <v>497</v>
      </c>
      <c r="B3" s="14" t="s">
        <v>499</v>
      </c>
      <c r="C3" s="12"/>
      <c r="D3" s="14"/>
    </row>
    <row r="4" customFormat="false" ht="15" hidden="false" customHeight="false" outlineLevel="0" collapsed="false">
      <c r="A4" s="11" t="s">
        <v>497</v>
      </c>
      <c r="B4" s="11" t="s">
        <v>500</v>
      </c>
      <c r="C4" s="8"/>
      <c r="D4" s="11"/>
    </row>
    <row r="5" customFormat="false" ht="15" hidden="false" customHeight="false" outlineLevel="0" collapsed="false">
      <c r="A5" s="14" t="s">
        <v>497</v>
      </c>
      <c r="B5" s="14" t="s">
        <v>501</v>
      </c>
      <c r="C5" s="12"/>
      <c r="D5" s="14"/>
    </row>
    <row r="6" customFormat="false" ht="15" hidden="false" customHeight="false" outlineLevel="0" collapsed="false">
      <c r="A6" s="11" t="s">
        <v>502</v>
      </c>
      <c r="B6" s="11" t="s">
        <v>503</v>
      </c>
      <c r="C6" s="8"/>
      <c r="D6" s="11"/>
    </row>
    <row r="7" customFormat="false" ht="15" hidden="false" customHeight="false" outlineLevel="0" collapsed="false">
      <c r="A7" s="14" t="s">
        <v>502</v>
      </c>
      <c r="B7" s="14" t="s">
        <v>504</v>
      </c>
      <c r="C7" s="12"/>
      <c r="D7" s="14"/>
    </row>
    <row r="8" customFormat="false" ht="15" hidden="false" customHeight="false" outlineLevel="0" collapsed="false">
      <c r="A8" s="11" t="s">
        <v>502</v>
      </c>
      <c r="B8" s="11" t="s">
        <v>505</v>
      </c>
      <c r="C8" s="8"/>
      <c r="D8" s="11"/>
    </row>
    <row r="9" customFormat="false" ht="15" hidden="false" customHeight="false" outlineLevel="0" collapsed="false">
      <c r="A9" s="14" t="s">
        <v>502</v>
      </c>
      <c r="B9" s="14" t="s">
        <v>271</v>
      </c>
      <c r="C9" s="12"/>
      <c r="D9" s="14"/>
    </row>
    <row r="10" customFormat="false" ht="15" hidden="false" customHeight="false" outlineLevel="0" collapsed="false">
      <c r="A10" s="11" t="s">
        <v>502</v>
      </c>
      <c r="B10" s="11" t="s">
        <v>506</v>
      </c>
      <c r="C10" s="8"/>
      <c r="D10" s="11"/>
    </row>
    <row r="11" customFormat="false" ht="15" hidden="false" customHeight="false" outlineLevel="0" collapsed="false">
      <c r="A11" s="14" t="s">
        <v>502</v>
      </c>
      <c r="B11" s="14" t="s">
        <v>507</v>
      </c>
      <c r="C11" s="12"/>
      <c r="D11" s="14"/>
    </row>
    <row r="12" customFormat="false" ht="15" hidden="false" customHeight="false" outlineLevel="0" collapsed="false">
      <c r="A12" s="11" t="s">
        <v>502</v>
      </c>
      <c r="B12" s="11" t="s">
        <v>508</v>
      </c>
      <c r="C12" s="8"/>
      <c r="D12" s="11"/>
    </row>
    <row r="13" customFormat="false" ht="15" hidden="false" customHeight="false" outlineLevel="0" collapsed="false">
      <c r="A13" s="14" t="s">
        <v>502</v>
      </c>
      <c r="B13" s="14" t="s">
        <v>509</v>
      </c>
      <c r="C13" s="12"/>
      <c r="D13" s="14"/>
    </row>
    <row r="14" customFormat="false" ht="15" hidden="false" customHeight="false" outlineLevel="0" collapsed="false">
      <c r="A14" s="11" t="s">
        <v>510</v>
      </c>
      <c r="B14" s="11" t="s">
        <v>511</v>
      </c>
      <c r="C14" s="8"/>
      <c r="D14" s="11"/>
    </row>
    <row r="15" customFormat="false" ht="15" hidden="false" customHeight="false" outlineLevel="0" collapsed="false">
      <c r="A15" s="14" t="s">
        <v>510</v>
      </c>
      <c r="B15" s="14" t="s">
        <v>512</v>
      </c>
      <c r="C15" s="12"/>
      <c r="D15" s="14"/>
    </row>
    <row r="16" customFormat="false" ht="15" hidden="false" customHeight="false" outlineLevel="0" collapsed="false">
      <c r="A16" s="11" t="s">
        <v>510</v>
      </c>
      <c r="B16" s="11" t="s">
        <v>513</v>
      </c>
      <c r="C16" s="8"/>
      <c r="D16" s="11"/>
    </row>
    <row r="17" customFormat="false" ht="15" hidden="false" customHeight="false" outlineLevel="0" collapsed="false">
      <c r="A17" s="14" t="s">
        <v>514</v>
      </c>
      <c r="B17" s="14" t="s">
        <v>515</v>
      </c>
      <c r="C17" s="12"/>
      <c r="D17" s="14"/>
    </row>
    <row r="18" customFormat="false" ht="15" hidden="false" customHeight="false" outlineLevel="0" collapsed="false">
      <c r="A18" s="11" t="s">
        <v>514</v>
      </c>
      <c r="B18" s="11" t="s">
        <v>516</v>
      </c>
      <c r="C18" s="8"/>
      <c r="D18" s="11"/>
    </row>
    <row r="19" customFormat="false" ht="15" hidden="false" customHeight="false" outlineLevel="0" collapsed="false">
      <c r="A19" s="14" t="s">
        <v>514</v>
      </c>
      <c r="B19" s="14" t="s">
        <v>517</v>
      </c>
      <c r="C19" s="12"/>
      <c r="D19" s="14"/>
    </row>
    <row r="20" customFormat="false" ht="15" hidden="false" customHeight="false" outlineLevel="0" collapsed="false">
      <c r="A20" s="11" t="s">
        <v>514</v>
      </c>
      <c r="B20" s="11" t="s">
        <v>518</v>
      </c>
      <c r="C20" s="8"/>
      <c r="D20" s="11"/>
    </row>
    <row r="21" customFormat="false" ht="15" hidden="false" customHeight="false" outlineLevel="0" collapsed="false">
      <c r="A21" s="14" t="s">
        <v>514</v>
      </c>
      <c r="B21" s="14" t="s">
        <v>519</v>
      </c>
      <c r="C21" s="12"/>
      <c r="D21" s="14"/>
    </row>
    <row r="22" customFormat="false" ht="15" hidden="false" customHeight="false" outlineLevel="0" collapsed="false">
      <c r="A22" s="11" t="s">
        <v>514</v>
      </c>
      <c r="B22" s="11" t="s">
        <v>520</v>
      </c>
      <c r="C22" s="8"/>
      <c r="D22" s="11"/>
    </row>
    <row r="23" customFormat="false" ht="15" hidden="false" customHeight="false" outlineLevel="0" collapsed="false">
      <c r="A23" s="14" t="s">
        <v>514</v>
      </c>
      <c r="B23" s="14" t="s">
        <v>521</v>
      </c>
      <c r="C23" s="12"/>
      <c r="D23" s="14"/>
    </row>
    <row r="24" customFormat="false" ht="23.85" hidden="false" customHeight="false" outlineLevel="0" collapsed="false">
      <c r="A24" s="11" t="s">
        <v>522</v>
      </c>
      <c r="B24" s="11" t="s">
        <v>523</v>
      </c>
      <c r="C24" s="8"/>
      <c r="D24" s="11"/>
    </row>
    <row r="25" customFormat="false" ht="15" hidden="false" customHeight="false" outlineLevel="0" collapsed="false">
      <c r="A25" s="14" t="s">
        <v>522</v>
      </c>
      <c r="B25" s="14" t="s">
        <v>524</v>
      </c>
      <c r="C25" s="12"/>
      <c r="D25" s="14"/>
    </row>
    <row r="26" customFormat="false" ht="15" hidden="false" customHeight="false" outlineLevel="0" collapsed="false">
      <c r="A26" s="11" t="s">
        <v>522</v>
      </c>
      <c r="B26" s="11" t="s">
        <v>525</v>
      </c>
      <c r="C26" s="8"/>
      <c r="D26" s="11"/>
    </row>
    <row r="27" customFormat="false" ht="15" hidden="false" customHeight="false" outlineLevel="0" collapsed="false">
      <c r="A27" s="14" t="s">
        <v>522</v>
      </c>
      <c r="B27" s="14" t="s">
        <v>526</v>
      </c>
      <c r="C27" s="12"/>
      <c r="D27" s="14"/>
    </row>
    <row r="29" customFormat="false" ht="15" hidden="false" customHeight="false" outlineLevel="0" collapsed="false">
      <c r="B29" s="5" t="s">
        <v>527</v>
      </c>
    </row>
  </sheetData>
  <autoFilter ref="A1:D27"/>
  <dataValidations count="1">
    <dataValidation allowBlank="true" errorStyle="stop" operator="between" showDropDown="false" showErrorMessage="false" showInputMessage="false" sqref="C2:C27" type="list">
      <formula1>"1,2,3,4"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8"/>
  </cols>
  <sheetData>
    <row r="1" customFormat="false" ht="24" hidden="false" customHeight="true" outlineLevel="0" collapsed="false">
      <c r="A1" s="7" t="s">
        <v>528</v>
      </c>
      <c r="B1" s="7" t="s">
        <v>529</v>
      </c>
    </row>
    <row r="2" customFormat="false" ht="15" hidden="false" customHeight="false" outlineLevel="0" collapsed="false">
      <c r="A2" s="11" t="s">
        <v>530</v>
      </c>
      <c r="B2" s="11" t="s">
        <v>531</v>
      </c>
    </row>
    <row r="3" customFormat="false" ht="15" hidden="false" customHeight="false" outlineLevel="0" collapsed="false">
      <c r="A3" s="14" t="s">
        <v>532</v>
      </c>
      <c r="B3" s="14" t="s">
        <v>533</v>
      </c>
    </row>
    <row r="4" customFormat="false" ht="15" hidden="false" customHeight="false" outlineLevel="0" collapsed="false">
      <c r="A4" s="11" t="s">
        <v>330</v>
      </c>
      <c r="B4" s="11" t="s">
        <v>534</v>
      </c>
    </row>
    <row r="5" customFormat="false" ht="15" hidden="false" customHeight="false" outlineLevel="0" collapsed="false">
      <c r="A5" s="14" t="s">
        <v>535</v>
      </c>
      <c r="B5" s="14" t="s">
        <v>536</v>
      </c>
    </row>
    <row r="6" customFormat="false" ht="23.85" hidden="false" customHeight="false" outlineLevel="0" collapsed="false">
      <c r="A6" s="11" t="s">
        <v>537</v>
      </c>
      <c r="B6" s="11" t="s">
        <v>538</v>
      </c>
    </row>
    <row r="7" customFormat="false" ht="15" hidden="false" customHeight="false" outlineLevel="0" collapsed="false">
      <c r="A7" s="14" t="s">
        <v>539</v>
      </c>
      <c r="B7" s="14" t="s">
        <v>540</v>
      </c>
    </row>
    <row r="9" customFormat="false" ht="15" hidden="false" customHeight="false" outlineLevel="0" collapsed="false">
      <c r="A9" s="3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34"/>
  </cols>
  <sheetData>
    <row r="1" customFormat="false" ht="24" hidden="false" customHeight="true" outlineLevel="0" collapsed="false">
      <c r="A1" s="7" t="s">
        <v>542</v>
      </c>
      <c r="B1" s="7" t="s">
        <v>543</v>
      </c>
      <c r="C1" s="7" t="s">
        <v>544</v>
      </c>
      <c r="D1" s="7" t="s">
        <v>545</v>
      </c>
      <c r="E1" s="7" t="s">
        <v>546</v>
      </c>
    </row>
    <row r="2" customFormat="false" ht="35.05" hidden="false" customHeight="false" outlineLevel="0" collapsed="false">
      <c r="A2" s="10" t="s">
        <v>547</v>
      </c>
      <c r="B2" s="11" t="s">
        <v>425</v>
      </c>
      <c r="C2" s="11" t="s">
        <v>548</v>
      </c>
      <c r="D2" s="11" t="s">
        <v>549</v>
      </c>
      <c r="E2" s="11" t="s">
        <v>550</v>
      </c>
    </row>
    <row r="3" customFormat="false" ht="23.85" hidden="false" customHeight="false" outlineLevel="0" collapsed="false">
      <c r="A3" s="13" t="s">
        <v>551</v>
      </c>
      <c r="B3" s="14" t="s">
        <v>286</v>
      </c>
      <c r="C3" s="14" t="s">
        <v>552</v>
      </c>
      <c r="D3" s="14" t="s">
        <v>553</v>
      </c>
      <c r="E3" s="14" t="s">
        <v>531</v>
      </c>
    </row>
    <row r="4" customFormat="false" ht="15" hidden="false" customHeight="false" outlineLevel="0" collapsed="false">
      <c r="A4" s="10" t="s">
        <v>551</v>
      </c>
      <c r="B4" s="11" t="s">
        <v>104</v>
      </c>
      <c r="C4" s="11" t="s">
        <v>554</v>
      </c>
      <c r="D4" s="11" t="s">
        <v>555</v>
      </c>
      <c r="E4" s="11" t="s">
        <v>556</v>
      </c>
    </row>
    <row r="5" customFormat="false" ht="23.85" hidden="false" customHeight="false" outlineLevel="0" collapsed="false">
      <c r="A5" s="13" t="s">
        <v>557</v>
      </c>
      <c r="B5" s="14" t="s">
        <v>558</v>
      </c>
      <c r="C5" s="14" t="s">
        <v>559</v>
      </c>
      <c r="D5" s="14" t="s">
        <v>560</v>
      </c>
      <c r="E5" s="14" t="s">
        <v>531</v>
      </c>
    </row>
    <row r="6" customFormat="false" ht="23.85" hidden="false" customHeight="false" outlineLevel="0" collapsed="false">
      <c r="A6" s="10" t="s">
        <v>557</v>
      </c>
      <c r="B6" s="11" t="s">
        <v>561</v>
      </c>
      <c r="C6" s="11" t="s">
        <v>562</v>
      </c>
      <c r="D6" s="11" t="s">
        <v>563</v>
      </c>
      <c r="E6" s="11" t="s">
        <v>564</v>
      </c>
    </row>
    <row r="7" customFormat="false" ht="15" hidden="false" customHeight="false" outlineLevel="0" collapsed="false">
      <c r="A7" s="13" t="s">
        <v>551</v>
      </c>
      <c r="B7" s="14" t="s">
        <v>364</v>
      </c>
      <c r="C7" s="14" t="s">
        <v>565</v>
      </c>
      <c r="D7" s="14" t="s">
        <v>566</v>
      </c>
      <c r="E7" s="14" t="s">
        <v>567</v>
      </c>
    </row>
    <row r="8" customFormat="false" ht="35.05" hidden="false" customHeight="false" outlineLevel="0" collapsed="false">
      <c r="A8" s="10" t="s">
        <v>557</v>
      </c>
      <c r="B8" s="11" t="s">
        <v>568</v>
      </c>
      <c r="C8" s="11" t="s">
        <v>569</v>
      </c>
      <c r="D8" s="11" t="s">
        <v>570</v>
      </c>
      <c r="E8" s="11" t="s">
        <v>571</v>
      </c>
    </row>
    <row r="9" customFormat="false" ht="23.85" hidden="false" customHeight="false" outlineLevel="0" collapsed="false">
      <c r="A9" s="13" t="s">
        <v>557</v>
      </c>
      <c r="B9" s="14" t="s">
        <v>572</v>
      </c>
      <c r="C9" s="14" t="s">
        <v>573</v>
      </c>
      <c r="D9" s="14" t="s">
        <v>574</v>
      </c>
      <c r="E9" s="14" t="s">
        <v>575</v>
      </c>
    </row>
    <row r="10" customFormat="false" ht="15" hidden="false" customHeight="false" outlineLevel="0" collapsed="false">
      <c r="A10" s="26" t="s">
        <v>576</v>
      </c>
      <c r="B10" s="18" t="s">
        <v>577</v>
      </c>
      <c r="C10" s="18" t="s">
        <v>578</v>
      </c>
      <c r="D10" s="18" t="s">
        <v>579</v>
      </c>
      <c r="E10" s="18" t="s">
        <v>571</v>
      </c>
    </row>
    <row r="11" customFormat="false" ht="23.85" hidden="false" customHeight="false" outlineLevel="0" collapsed="false">
      <c r="A11" s="26" t="s">
        <v>576</v>
      </c>
      <c r="B11" s="18" t="s">
        <v>250</v>
      </c>
      <c r="C11" s="18" t="s">
        <v>580</v>
      </c>
      <c r="D11" s="18" t="s">
        <v>581</v>
      </c>
      <c r="E11" s="18" t="s">
        <v>571</v>
      </c>
    </row>
    <row r="12" customFormat="false" ht="23.85" hidden="false" customHeight="false" outlineLevel="0" collapsed="false">
      <c r="A12" s="27" t="s">
        <v>582</v>
      </c>
      <c r="B12" s="28" t="s">
        <v>583</v>
      </c>
      <c r="C12" s="28" t="s">
        <v>584</v>
      </c>
      <c r="D12" s="28" t="s">
        <v>585</v>
      </c>
      <c r="E12" s="28" t="s">
        <v>571</v>
      </c>
    </row>
    <row r="13" customFormat="false" ht="15" hidden="false" customHeight="false" outlineLevel="0" collapsed="false">
      <c r="A13" s="27" t="s">
        <v>582</v>
      </c>
      <c r="B13" s="28" t="s">
        <v>586</v>
      </c>
      <c r="C13" s="28" t="s">
        <v>587</v>
      </c>
      <c r="D13" s="28" t="s">
        <v>588</v>
      </c>
      <c r="E13" s="28" t="s">
        <v>571</v>
      </c>
    </row>
    <row r="14" customFormat="false" ht="23.85" hidden="false" customHeight="false" outlineLevel="0" collapsed="false">
      <c r="A14" s="27" t="s">
        <v>582</v>
      </c>
      <c r="B14" s="28" t="s">
        <v>589</v>
      </c>
      <c r="C14" s="28" t="s">
        <v>590</v>
      </c>
      <c r="D14" s="28" t="s">
        <v>591</v>
      </c>
      <c r="E14" s="28" t="s">
        <v>571</v>
      </c>
    </row>
    <row r="16" customFormat="false" ht="15" hidden="false" customHeight="false" outlineLevel="0" collapsed="false">
      <c r="A16" s="3" t="s">
        <v>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2026-06-26T21:07:19Z</dcterms:created>
  <dc:creator>openpyxl</dc:creator>
  <dc:description/>
  <dc:language>en-US</dc:language>
  <cp:lastModifiedBy/>
  <dcterms:modified xsi:type="dcterms:W3CDTF">2026-06-26T21:07:19Z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